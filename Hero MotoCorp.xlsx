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yber\OneDrive\Desktop\"/>
    </mc:Choice>
  </mc:AlternateContent>
  <xr:revisionPtr revIDLastSave="0" documentId="13_ncr:1_{04515A48-D65D-452C-9383-BC1B85D0B939}" xr6:coauthVersionLast="47" xr6:coauthVersionMax="47" xr10:uidLastSave="{00000000-0000-0000-0000-000000000000}"/>
  <bookViews>
    <workbookView xWindow="-110" yWindow="-110" windowWidth="19420" windowHeight="10420" firstSheet="2" activeTab="7" xr2:uid="{00000000-000D-0000-FFFF-FFFF00000000}"/>
  </bookViews>
  <sheets>
    <sheet name="Balance Sheet " sheetId="3" r:id="rId1"/>
    <sheet name="P&amp;L" sheetId="4" r:id="rId2"/>
    <sheet name="CFS" sheetId="7" r:id="rId3"/>
    <sheet name="Assumptions" sheetId="6" r:id="rId4"/>
    <sheet name="Revenue Model" sheetId="2" r:id="rId5"/>
    <sheet name="Schedule Populated " sheetId="5" r:id="rId6"/>
    <sheet name="WACC" sheetId="12" r:id="rId7"/>
    <sheet name="FCFF" sheetId="9" r:id="rId8"/>
    <sheet name="Relative Valuation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3" l="1"/>
  <c r="H34" i="2"/>
  <c r="I34" i="2"/>
  <c r="G34" i="2"/>
  <c r="F34" i="2"/>
  <c r="E34" i="2"/>
  <c r="J35" i="2"/>
  <c r="K35" i="2" s="1"/>
  <c r="L35" i="2" s="1"/>
  <c r="J34" i="2" l="1"/>
  <c r="M35" i="2"/>
  <c r="N35" i="2"/>
  <c r="K34" i="2" l="1"/>
  <c r="L34" i="2" s="1"/>
  <c r="M34" i="2" s="1"/>
  <c r="N34" i="2" s="1"/>
  <c r="J12" i="6"/>
  <c r="K12" i="6"/>
  <c r="L12" i="6" s="1"/>
  <c r="M12" i="6" s="1"/>
  <c r="N12" i="6" s="1"/>
  <c r="E26" i="4"/>
  <c r="F26" i="4"/>
  <c r="G26" i="4"/>
  <c r="H26" i="4"/>
  <c r="I26" i="4"/>
  <c r="J31" i="2"/>
  <c r="K31" i="2" s="1"/>
  <c r="L31" i="2" s="1"/>
  <c r="M31" i="2" s="1"/>
  <c r="N31" i="2" s="1"/>
  <c r="C33" i="9" l="1"/>
  <c r="M26" i="12"/>
  <c r="C18" i="9" s="1"/>
  <c r="C31" i="9" l="1"/>
  <c r="J13" i="12" l="1"/>
  <c r="I16" i="12"/>
  <c r="E4" i="12"/>
  <c r="F4" i="12"/>
  <c r="E5" i="12"/>
  <c r="F5" i="12"/>
  <c r="E6" i="12"/>
  <c r="F6" i="12"/>
  <c r="E7" i="12"/>
  <c r="F7" i="12"/>
  <c r="E8" i="12"/>
  <c r="F8" i="12"/>
  <c r="E9" i="12"/>
  <c r="F9" i="12"/>
  <c r="E10" i="12"/>
  <c r="F10" i="12"/>
  <c r="E11" i="12"/>
  <c r="F11" i="12"/>
  <c r="E12" i="12"/>
  <c r="F12" i="12"/>
  <c r="E13" i="12"/>
  <c r="F13" i="12"/>
  <c r="E14" i="12"/>
  <c r="F14" i="12"/>
  <c r="E15" i="12"/>
  <c r="F15" i="12"/>
  <c r="E16" i="12"/>
  <c r="F16" i="12"/>
  <c r="E17" i="12"/>
  <c r="F17" i="12"/>
  <c r="E18" i="12"/>
  <c r="F18" i="12"/>
  <c r="E19" i="12"/>
  <c r="F19" i="12"/>
  <c r="E20" i="12"/>
  <c r="F20" i="12"/>
  <c r="E21" i="12"/>
  <c r="F21" i="12"/>
  <c r="E22" i="12"/>
  <c r="F22" i="12"/>
  <c r="E23" i="12"/>
  <c r="F23" i="12"/>
  <c r="E24" i="12"/>
  <c r="F24" i="12"/>
  <c r="E25" i="12"/>
  <c r="F25" i="12"/>
  <c r="E26" i="12"/>
  <c r="F26" i="12"/>
  <c r="E27" i="12"/>
  <c r="F27" i="12"/>
  <c r="E28" i="12"/>
  <c r="F28" i="12"/>
  <c r="E29" i="12"/>
  <c r="F29" i="12"/>
  <c r="E30" i="12"/>
  <c r="F30" i="12"/>
  <c r="E31" i="12"/>
  <c r="F31" i="12"/>
  <c r="E32" i="12"/>
  <c r="F32" i="12"/>
  <c r="E33" i="12"/>
  <c r="F33" i="12"/>
  <c r="E34" i="12"/>
  <c r="F34" i="12"/>
  <c r="E35" i="12"/>
  <c r="F35" i="12"/>
  <c r="E36" i="12"/>
  <c r="F36" i="12"/>
  <c r="E37" i="12"/>
  <c r="F37" i="12"/>
  <c r="E38" i="12"/>
  <c r="F38" i="12"/>
  <c r="E39" i="12"/>
  <c r="F39" i="12"/>
  <c r="E40" i="12"/>
  <c r="F40" i="12"/>
  <c r="E41" i="12"/>
  <c r="F41" i="12"/>
  <c r="E42" i="12"/>
  <c r="F42" i="12"/>
  <c r="E43" i="12"/>
  <c r="F43" i="12"/>
  <c r="E44" i="12"/>
  <c r="F44" i="12"/>
  <c r="E45" i="12"/>
  <c r="F45" i="12"/>
  <c r="E46" i="12"/>
  <c r="F46" i="12"/>
  <c r="E47" i="12"/>
  <c r="F47" i="12"/>
  <c r="E48" i="12"/>
  <c r="F48" i="12"/>
  <c r="E49" i="12"/>
  <c r="F49" i="12"/>
  <c r="E50" i="12"/>
  <c r="F50" i="12"/>
  <c r="E51" i="12"/>
  <c r="F51" i="12"/>
  <c r="E52" i="12"/>
  <c r="F52" i="12"/>
  <c r="E53" i="12"/>
  <c r="F53" i="12"/>
  <c r="E54" i="12"/>
  <c r="F54" i="12"/>
  <c r="E55" i="12"/>
  <c r="F55" i="12"/>
  <c r="E56" i="12"/>
  <c r="F56" i="12"/>
  <c r="E57" i="12"/>
  <c r="F57" i="12"/>
  <c r="E58" i="12"/>
  <c r="F58" i="12"/>
  <c r="E59" i="12"/>
  <c r="F59" i="12"/>
  <c r="E60" i="12"/>
  <c r="F60" i="12"/>
  <c r="E61" i="12"/>
  <c r="F61" i="12"/>
  <c r="E62" i="12"/>
  <c r="F62" i="12"/>
  <c r="E63" i="12"/>
  <c r="F63" i="12"/>
  <c r="E64" i="12"/>
  <c r="F64" i="12"/>
  <c r="E65" i="12"/>
  <c r="F65" i="12"/>
  <c r="E66" i="12"/>
  <c r="F66" i="12"/>
  <c r="E67" i="12"/>
  <c r="F67" i="12"/>
  <c r="E68" i="12"/>
  <c r="F68" i="12"/>
  <c r="E69" i="12"/>
  <c r="F69" i="12"/>
  <c r="E70" i="12"/>
  <c r="F70" i="12"/>
  <c r="E71" i="12"/>
  <c r="F71" i="12"/>
  <c r="E72" i="12"/>
  <c r="F72" i="12"/>
  <c r="E73" i="12"/>
  <c r="F73" i="12"/>
  <c r="E74" i="12"/>
  <c r="F74" i="12"/>
  <c r="E75" i="12"/>
  <c r="F75" i="12"/>
  <c r="E76" i="12"/>
  <c r="F76" i="12"/>
  <c r="E77" i="12"/>
  <c r="F77" i="12"/>
  <c r="E78" i="12"/>
  <c r="F78" i="12"/>
  <c r="E79" i="12"/>
  <c r="F79" i="12"/>
  <c r="E80" i="12"/>
  <c r="F80" i="12"/>
  <c r="E81" i="12"/>
  <c r="F81" i="12"/>
  <c r="E82" i="12"/>
  <c r="F82" i="12"/>
  <c r="E83" i="12"/>
  <c r="F83" i="12"/>
  <c r="E84" i="12"/>
  <c r="F84" i="12"/>
  <c r="E85" i="12"/>
  <c r="F85" i="12"/>
  <c r="E86" i="12"/>
  <c r="F86" i="12"/>
  <c r="E87" i="12"/>
  <c r="F87" i="12"/>
  <c r="E88" i="12"/>
  <c r="F88" i="12"/>
  <c r="E89" i="12"/>
  <c r="F89" i="12"/>
  <c r="E90" i="12"/>
  <c r="F90" i="12"/>
  <c r="E91" i="12"/>
  <c r="F91" i="12"/>
  <c r="E92" i="12"/>
  <c r="F92" i="12"/>
  <c r="E93" i="12"/>
  <c r="F93" i="12"/>
  <c r="E94" i="12"/>
  <c r="F94" i="12"/>
  <c r="E95" i="12"/>
  <c r="F95" i="12"/>
  <c r="E96" i="12"/>
  <c r="F96" i="12"/>
  <c r="E97" i="12"/>
  <c r="F97" i="12"/>
  <c r="E98" i="12"/>
  <c r="F98" i="12"/>
  <c r="E99" i="12"/>
  <c r="F99" i="12"/>
  <c r="E100" i="12"/>
  <c r="F100" i="12"/>
  <c r="E101" i="12"/>
  <c r="F101" i="12"/>
  <c r="E102" i="12"/>
  <c r="F102" i="12"/>
  <c r="E103" i="12"/>
  <c r="F103" i="12"/>
  <c r="E104" i="12"/>
  <c r="F104" i="12"/>
  <c r="E105" i="12"/>
  <c r="F105" i="12"/>
  <c r="E106" i="12"/>
  <c r="F106" i="12"/>
  <c r="E107" i="12"/>
  <c r="F107" i="12"/>
  <c r="E108" i="12"/>
  <c r="F108" i="12"/>
  <c r="E109" i="12"/>
  <c r="F109" i="12"/>
  <c r="E110" i="12"/>
  <c r="F110" i="12"/>
  <c r="E111" i="12"/>
  <c r="F111" i="12"/>
  <c r="E112" i="12"/>
  <c r="F112" i="12"/>
  <c r="E113" i="12"/>
  <c r="F113" i="12"/>
  <c r="E114" i="12"/>
  <c r="F114" i="12"/>
  <c r="E115" i="12"/>
  <c r="F115" i="12"/>
  <c r="E116" i="12"/>
  <c r="F116" i="12"/>
  <c r="E117" i="12"/>
  <c r="F117" i="12"/>
  <c r="E118" i="12"/>
  <c r="F118" i="12"/>
  <c r="E119" i="12"/>
  <c r="F119" i="12"/>
  <c r="E120" i="12"/>
  <c r="F120" i="12"/>
  <c r="E121" i="12"/>
  <c r="F121" i="12"/>
  <c r="E122" i="12"/>
  <c r="F122" i="12"/>
  <c r="E123" i="12"/>
  <c r="F123" i="12"/>
  <c r="E124" i="12"/>
  <c r="F124" i="12"/>
  <c r="E125" i="12"/>
  <c r="F125" i="12"/>
  <c r="E126" i="12"/>
  <c r="F126" i="12"/>
  <c r="E127" i="12"/>
  <c r="F127" i="12"/>
  <c r="E128" i="12"/>
  <c r="F128" i="12"/>
  <c r="E129" i="12"/>
  <c r="F129" i="12"/>
  <c r="E130" i="12"/>
  <c r="F130" i="12"/>
  <c r="E131" i="12"/>
  <c r="F131" i="12"/>
  <c r="E132" i="12"/>
  <c r="F132" i="12"/>
  <c r="E133" i="12"/>
  <c r="F133" i="12"/>
  <c r="E134" i="12"/>
  <c r="F134" i="12"/>
  <c r="E135" i="12"/>
  <c r="F135" i="12"/>
  <c r="E136" i="12"/>
  <c r="F136" i="12"/>
  <c r="E137" i="12"/>
  <c r="F137" i="12"/>
  <c r="E138" i="12"/>
  <c r="F138" i="12"/>
  <c r="E139" i="12"/>
  <c r="F139" i="12"/>
  <c r="E140" i="12"/>
  <c r="F140" i="12"/>
  <c r="E141" i="12"/>
  <c r="F141" i="12"/>
  <c r="E142" i="12"/>
  <c r="F142" i="12"/>
  <c r="E143" i="12"/>
  <c r="F143" i="12"/>
  <c r="E144" i="12"/>
  <c r="F144" i="12"/>
  <c r="E145" i="12"/>
  <c r="F145" i="12"/>
  <c r="E146" i="12"/>
  <c r="F146" i="12"/>
  <c r="E147" i="12"/>
  <c r="F147" i="12"/>
  <c r="E148" i="12"/>
  <c r="F148" i="12"/>
  <c r="E149" i="12"/>
  <c r="F149" i="12"/>
  <c r="E150" i="12"/>
  <c r="F150" i="12"/>
  <c r="E151" i="12"/>
  <c r="F151" i="12"/>
  <c r="E152" i="12"/>
  <c r="F152" i="12"/>
  <c r="E153" i="12"/>
  <c r="F153" i="12"/>
  <c r="E154" i="12"/>
  <c r="F154" i="12"/>
  <c r="E155" i="12"/>
  <c r="F155" i="12"/>
  <c r="E156" i="12"/>
  <c r="F156" i="12"/>
  <c r="E157" i="12"/>
  <c r="F157" i="12"/>
  <c r="E158" i="12"/>
  <c r="F158" i="12"/>
  <c r="E159" i="12"/>
  <c r="F159" i="12"/>
  <c r="E160" i="12"/>
  <c r="F160" i="12"/>
  <c r="E161" i="12"/>
  <c r="F161" i="12"/>
  <c r="E162" i="12"/>
  <c r="F162" i="12"/>
  <c r="E163" i="12"/>
  <c r="F163" i="12"/>
  <c r="E164" i="12"/>
  <c r="F164" i="12"/>
  <c r="E165" i="12"/>
  <c r="F165" i="12"/>
  <c r="E166" i="12"/>
  <c r="F166" i="12"/>
  <c r="E167" i="12"/>
  <c r="F167" i="12"/>
  <c r="E168" i="12"/>
  <c r="F168" i="12"/>
  <c r="E169" i="12"/>
  <c r="F169" i="12"/>
  <c r="E170" i="12"/>
  <c r="F170" i="12"/>
  <c r="E171" i="12"/>
  <c r="F171" i="12"/>
  <c r="E172" i="12"/>
  <c r="F172" i="12"/>
  <c r="E173" i="12"/>
  <c r="F173" i="12"/>
  <c r="E174" i="12"/>
  <c r="F174" i="12"/>
  <c r="E175" i="12"/>
  <c r="F175" i="12"/>
  <c r="E176" i="12"/>
  <c r="F176" i="12"/>
  <c r="E177" i="12"/>
  <c r="F177" i="12"/>
  <c r="E178" i="12"/>
  <c r="F178" i="12"/>
  <c r="E179" i="12"/>
  <c r="F179" i="12"/>
  <c r="E180" i="12"/>
  <c r="F180" i="12"/>
  <c r="E181" i="12"/>
  <c r="F181" i="12"/>
  <c r="E182" i="12"/>
  <c r="F182" i="12"/>
  <c r="E183" i="12"/>
  <c r="F183" i="12"/>
  <c r="E184" i="12"/>
  <c r="F184" i="12"/>
  <c r="E185" i="12"/>
  <c r="F185" i="12"/>
  <c r="E186" i="12"/>
  <c r="F186" i="12"/>
  <c r="E187" i="12"/>
  <c r="F187" i="12"/>
  <c r="E188" i="12"/>
  <c r="F188" i="12"/>
  <c r="E189" i="12"/>
  <c r="F189" i="12"/>
  <c r="E190" i="12"/>
  <c r="F190" i="12"/>
  <c r="E191" i="12"/>
  <c r="F191" i="12"/>
  <c r="E192" i="12"/>
  <c r="F192" i="12"/>
  <c r="E193" i="12"/>
  <c r="F193" i="12"/>
  <c r="E194" i="12"/>
  <c r="F194" i="12"/>
  <c r="E195" i="12"/>
  <c r="F195" i="12"/>
  <c r="E196" i="12"/>
  <c r="F196" i="12"/>
  <c r="E197" i="12"/>
  <c r="F197" i="12"/>
  <c r="E198" i="12"/>
  <c r="F198" i="12"/>
  <c r="E199" i="12"/>
  <c r="F199" i="12"/>
  <c r="E200" i="12"/>
  <c r="F200" i="12"/>
  <c r="E201" i="12"/>
  <c r="F201" i="12"/>
  <c r="E202" i="12"/>
  <c r="F202" i="12"/>
  <c r="E203" i="12"/>
  <c r="F203" i="12"/>
  <c r="E204" i="12"/>
  <c r="F204" i="12"/>
  <c r="E205" i="12"/>
  <c r="F205" i="12"/>
  <c r="E206" i="12"/>
  <c r="F206" i="12"/>
  <c r="E207" i="12"/>
  <c r="F207" i="12"/>
  <c r="E208" i="12"/>
  <c r="F208" i="12"/>
  <c r="E209" i="12"/>
  <c r="F209" i="12"/>
  <c r="E210" i="12"/>
  <c r="F210" i="12"/>
  <c r="E211" i="12"/>
  <c r="F211" i="12"/>
  <c r="E212" i="12"/>
  <c r="F212" i="12"/>
  <c r="E213" i="12"/>
  <c r="F213" i="12"/>
  <c r="E214" i="12"/>
  <c r="F214" i="12"/>
  <c r="E215" i="12"/>
  <c r="F215" i="12"/>
  <c r="E216" i="12"/>
  <c r="F216" i="12"/>
  <c r="E217" i="12"/>
  <c r="F217" i="12"/>
  <c r="E218" i="12"/>
  <c r="F218" i="12"/>
  <c r="E219" i="12"/>
  <c r="F219" i="12"/>
  <c r="E220" i="12"/>
  <c r="F220" i="12"/>
  <c r="E221" i="12"/>
  <c r="F221" i="12"/>
  <c r="E222" i="12"/>
  <c r="F222" i="12"/>
  <c r="E223" i="12"/>
  <c r="F223" i="12"/>
  <c r="E224" i="12"/>
  <c r="F224" i="12"/>
  <c r="E225" i="12"/>
  <c r="F225" i="12"/>
  <c r="E226" i="12"/>
  <c r="F226" i="12"/>
  <c r="E227" i="12"/>
  <c r="F227" i="12"/>
  <c r="E228" i="12"/>
  <c r="F228" i="12"/>
  <c r="E229" i="12"/>
  <c r="F229" i="12"/>
  <c r="E230" i="12"/>
  <c r="F230" i="12"/>
  <c r="E231" i="12"/>
  <c r="F231" i="12"/>
  <c r="E232" i="12"/>
  <c r="F232" i="12"/>
  <c r="E233" i="12"/>
  <c r="F233" i="12"/>
  <c r="E234" i="12"/>
  <c r="F234" i="12"/>
  <c r="E235" i="12"/>
  <c r="F235" i="12"/>
  <c r="E236" i="12"/>
  <c r="F236" i="12"/>
  <c r="E237" i="12"/>
  <c r="F237" i="12"/>
  <c r="E238" i="12"/>
  <c r="F238" i="12"/>
  <c r="E239" i="12"/>
  <c r="F239" i="12"/>
  <c r="E240" i="12"/>
  <c r="F240" i="12"/>
  <c r="E241" i="12"/>
  <c r="F241" i="12"/>
  <c r="E242" i="12"/>
  <c r="F242" i="12"/>
  <c r="E243" i="12"/>
  <c r="F243" i="12"/>
  <c r="E244" i="12"/>
  <c r="F244" i="12"/>
  <c r="E245" i="12"/>
  <c r="F245" i="12"/>
  <c r="E246" i="12"/>
  <c r="F246" i="12"/>
  <c r="E247" i="12"/>
  <c r="F247" i="12"/>
  <c r="E248" i="12"/>
  <c r="F248" i="12"/>
  <c r="E249" i="12"/>
  <c r="F249" i="12"/>
  <c r="E250" i="12"/>
  <c r="F250" i="12"/>
  <c r="E251" i="12"/>
  <c r="F251" i="12"/>
  <c r="E252" i="12"/>
  <c r="F252" i="12"/>
  <c r="E253" i="12"/>
  <c r="F253" i="12"/>
  <c r="E254" i="12"/>
  <c r="F254" i="12"/>
  <c r="E255" i="12"/>
  <c r="F255" i="12"/>
  <c r="E256" i="12"/>
  <c r="F256" i="12"/>
  <c r="E257" i="12"/>
  <c r="F257" i="12"/>
  <c r="E258" i="12"/>
  <c r="F258" i="12"/>
  <c r="E259" i="12"/>
  <c r="F259" i="12"/>
  <c r="E260" i="12"/>
  <c r="F260" i="12"/>
  <c r="E261" i="12"/>
  <c r="F261" i="12"/>
  <c r="E262" i="12"/>
  <c r="F262" i="12"/>
  <c r="E263" i="12"/>
  <c r="F263" i="12"/>
  <c r="E264" i="12"/>
  <c r="F264" i="12"/>
  <c r="E265" i="12"/>
  <c r="F265" i="12"/>
  <c r="E266" i="12"/>
  <c r="F266" i="12"/>
  <c r="E267" i="12"/>
  <c r="F267" i="12"/>
  <c r="E268" i="12"/>
  <c r="F268" i="12"/>
  <c r="E269" i="12"/>
  <c r="F269" i="12"/>
  <c r="E270" i="12"/>
  <c r="F270" i="12"/>
  <c r="E271" i="12"/>
  <c r="F271" i="12"/>
  <c r="E272" i="12"/>
  <c r="F272" i="12"/>
  <c r="E273" i="12"/>
  <c r="F273" i="12"/>
  <c r="E274" i="12"/>
  <c r="F274" i="12"/>
  <c r="E275" i="12"/>
  <c r="F275" i="12"/>
  <c r="E276" i="12"/>
  <c r="F276" i="12"/>
  <c r="E277" i="12"/>
  <c r="F277" i="12"/>
  <c r="E278" i="12"/>
  <c r="F278" i="12"/>
  <c r="E279" i="12"/>
  <c r="F279" i="12"/>
  <c r="E280" i="12"/>
  <c r="F280" i="12"/>
  <c r="E281" i="12"/>
  <c r="F281" i="12"/>
  <c r="E282" i="12"/>
  <c r="F282" i="12"/>
  <c r="E283" i="12"/>
  <c r="F283" i="12"/>
  <c r="E284" i="12"/>
  <c r="F284" i="12"/>
  <c r="E285" i="12"/>
  <c r="F285" i="12"/>
  <c r="E286" i="12"/>
  <c r="F286" i="12"/>
  <c r="E287" i="12"/>
  <c r="F287" i="12"/>
  <c r="E288" i="12"/>
  <c r="F288" i="12"/>
  <c r="E289" i="12"/>
  <c r="F289" i="12"/>
  <c r="E290" i="12"/>
  <c r="F290" i="12"/>
  <c r="E291" i="12"/>
  <c r="F291" i="12"/>
  <c r="E292" i="12"/>
  <c r="F292" i="12"/>
  <c r="E293" i="12"/>
  <c r="F293" i="12"/>
  <c r="E294" i="12"/>
  <c r="F294" i="12"/>
  <c r="E295" i="12"/>
  <c r="F295" i="12"/>
  <c r="E296" i="12"/>
  <c r="F296" i="12"/>
  <c r="E297" i="12"/>
  <c r="F297" i="12"/>
  <c r="E298" i="12"/>
  <c r="F298" i="12"/>
  <c r="E299" i="12"/>
  <c r="F299" i="12"/>
  <c r="E300" i="12"/>
  <c r="F300" i="12"/>
  <c r="E301" i="12"/>
  <c r="F301" i="12"/>
  <c r="E302" i="12"/>
  <c r="F302" i="12"/>
  <c r="E303" i="12"/>
  <c r="F303" i="12"/>
  <c r="E304" i="12"/>
  <c r="F304" i="12"/>
  <c r="E305" i="12"/>
  <c r="F305" i="12"/>
  <c r="E306" i="12"/>
  <c r="F306" i="12"/>
  <c r="E307" i="12"/>
  <c r="F307" i="12"/>
  <c r="E308" i="12"/>
  <c r="F308" i="12"/>
  <c r="E309" i="12"/>
  <c r="F309" i="12"/>
  <c r="E310" i="12"/>
  <c r="F310" i="12"/>
  <c r="E311" i="12"/>
  <c r="F311" i="12"/>
  <c r="E312" i="12"/>
  <c r="F312" i="12"/>
  <c r="E313" i="12"/>
  <c r="F313" i="12"/>
  <c r="E314" i="12"/>
  <c r="F314" i="12"/>
  <c r="E315" i="12"/>
  <c r="F315" i="12"/>
  <c r="E316" i="12"/>
  <c r="F316" i="12"/>
  <c r="E317" i="12"/>
  <c r="F317" i="12"/>
  <c r="E318" i="12"/>
  <c r="F318" i="12"/>
  <c r="E319" i="12"/>
  <c r="F319" i="12"/>
  <c r="E320" i="12"/>
  <c r="F320" i="12"/>
  <c r="E321" i="12"/>
  <c r="F321" i="12"/>
  <c r="E322" i="12"/>
  <c r="F322" i="12"/>
  <c r="E323" i="12"/>
  <c r="F323" i="12"/>
  <c r="E324" i="12"/>
  <c r="F324" i="12"/>
  <c r="E325" i="12"/>
  <c r="F325" i="12"/>
  <c r="E326" i="12"/>
  <c r="F326" i="12"/>
  <c r="E327" i="12"/>
  <c r="F327" i="12"/>
  <c r="E328" i="12"/>
  <c r="F328" i="12"/>
  <c r="E329" i="12"/>
  <c r="F329" i="12"/>
  <c r="E330" i="12"/>
  <c r="F330" i="12"/>
  <c r="E331" i="12"/>
  <c r="F331" i="12"/>
  <c r="E332" i="12"/>
  <c r="F332" i="12"/>
  <c r="E333" i="12"/>
  <c r="F333" i="12"/>
  <c r="E334" i="12"/>
  <c r="F334" i="12"/>
  <c r="E335" i="12"/>
  <c r="F335" i="12"/>
  <c r="E336" i="12"/>
  <c r="F336" i="12"/>
  <c r="E337" i="12"/>
  <c r="F337" i="12"/>
  <c r="E338" i="12"/>
  <c r="F338" i="12"/>
  <c r="E339" i="12"/>
  <c r="F339" i="12"/>
  <c r="E340" i="12"/>
  <c r="F340" i="12"/>
  <c r="E341" i="12"/>
  <c r="F341" i="12"/>
  <c r="E342" i="12"/>
  <c r="F342" i="12"/>
  <c r="E343" i="12"/>
  <c r="F343" i="12"/>
  <c r="E344" i="12"/>
  <c r="F344" i="12"/>
  <c r="E345" i="12"/>
  <c r="F345" i="12"/>
  <c r="E346" i="12"/>
  <c r="F346" i="12"/>
  <c r="E347" i="12"/>
  <c r="F347" i="12"/>
  <c r="E348" i="12"/>
  <c r="F348" i="12"/>
  <c r="E349" i="12"/>
  <c r="F349" i="12"/>
  <c r="E350" i="12"/>
  <c r="F350" i="12"/>
  <c r="E351" i="12"/>
  <c r="F351" i="12"/>
  <c r="E352" i="12"/>
  <c r="F352" i="12"/>
  <c r="E353" i="12"/>
  <c r="F353" i="12"/>
  <c r="E354" i="12"/>
  <c r="F354" i="12"/>
  <c r="E355" i="12"/>
  <c r="F355" i="12"/>
  <c r="E356" i="12"/>
  <c r="F356" i="12"/>
  <c r="E357" i="12"/>
  <c r="F357" i="12"/>
  <c r="E358" i="12"/>
  <c r="F358" i="12"/>
  <c r="E359" i="12"/>
  <c r="F359" i="12"/>
  <c r="E360" i="12"/>
  <c r="F360" i="12"/>
  <c r="E361" i="12"/>
  <c r="F361" i="12"/>
  <c r="E362" i="12"/>
  <c r="F362" i="12"/>
  <c r="E363" i="12"/>
  <c r="F363" i="12"/>
  <c r="E364" i="12"/>
  <c r="F364" i="12"/>
  <c r="E365" i="12"/>
  <c r="F365" i="12"/>
  <c r="E366" i="12"/>
  <c r="F366" i="12"/>
  <c r="E367" i="12"/>
  <c r="F367" i="12"/>
  <c r="E368" i="12"/>
  <c r="F368" i="12"/>
  <c r="E369" i="12"/>
  <c r="F369" i="12"/>
  <c r="E370" i="12"/>
  <c r="F370" i="12"/>
  <c r="E371" i="12"/>
  <c r="F371" i="12"/>
  <c r="E372" i="12"/>
  <c r="F372" i="12"/>
  <c r="E373" i="12"/>
  <c r="F373" i="12"/>
  <c r="E374" i="12"/>
  <c r="F374" i="12"/>
  <c r="E375" i="12"/>
  <c r="F375" i="12"/>
  <c r="E376" i="12"/>
  <c r="F376" i="12"/>
  <c r="E377" i="12"/>
  <c r="F377" i="12"/>
  <c r="E378" i="12"/>
  <c r="F378" i="12"/>
  <c r="E379" i="12"/>
  <c r="F379" i="12"/>
  <c r="E380" i="12"/>
  <c r="F380" i="12"/>
  <c r="E381" i="12"/>
  <c r="F381" i="12"/>
  <c r="E382" i="12"/>
  <c r="F382" i="12"/>
  <c r="E383" i="12"/>
  <c r="F383" i="12"/>
  <c r="E384" i="12"/>
  <c r="F384" i="12"/>
  <c r="E385" i="12"/>
  <c r="F385" i="12"/>
  <c r="E386" i="12"/>
  <c r="F386" i="12"/>
  <c r="E387" i="12"/>
  <c r="F387" i="12"/>
  <c r="E388" i="12"/>
  <c r="F388" i="12"/>
  <c r="E389" i="12"/>
  <c r="F389" i="12"/>
  <c r="E390" i="12"/>
  <c r="F390" i="12"/>
  <c r="E391" i="12"/>
  <c r="F391" i="12"/>
  <c r="E392" i="12"/>
  <c r="F392" i="12"/>
  <c r="E393" i="12"/>
  <c r="F393" i="12"/>
  <c r="E394" i="12"/>
  <c r="F394" i="12"/>
  <c r="E395" i="12"/>
  <c r="F395" i="12"/>
  <c r="E396" i="12"/>
  <c r="F396" i="12"/>
  <c r="E397" i="12"/>
  <c r="F397" i="12"/>
  <c r="E398" i="12"/>
  <c r="F398" i="12"/>
  <c r="E399" i="12"/>
  <c r="F399" i="12"/>
  <c r="E400" i="12"/>
  <c r="F400" i="12"/>
  <c r="E401" i="12"/>
  <c r="F401" i="12"/>
  <c r="E402" i="12"/>
  <c r="F402" i="12"/>
  <c r="E403" i="12"/>
  <c r="F403" i="12"/>
  <c r="E404" i="12"/>
  <c r="F404" i="12"/>
  <c r="E405" i="12"/>
  <c r="F405" i="12"/>
  <c r="E406" i="12"/>
  <c r="F406" i="12"/>
  <c r="E407" i="12"/>
  <c r="F407" i="12"/>
  <c r="E408" i="12"/>
  <c r="F408" i="12"/>
  <c r="E409" i="12"/>
  <c r="F409" i="12"/>
  <c r="E410" i="12"/>
  <c r="F410" i="12"/>
  <c r="E411" i="12"/>
  <c r="F411" i="12"/>
  <c r="E412" i="12"/>
  <c r="F412" i="12"/>
  <c r="E413" i="12"/>
  <c r="F413" i="12"/>
  <c r="E414" i="12"/>
  <c r="F414" i="12"/>
  <c r="E415" i="12"/>
  <c r="F415" i="12"/>
  <c r="E416" i="12"/>
  <c r="F416" i="12"/>
  <c r="E417" i="12"/>
  <c r="F417" i="12"/>
  <c r="E418" i="12"/>
  <c r="F418" i="12"/>
  <c r="E419" i="12"/>
  <c r="F419" i="12"/>
  <c r="E420" i="12"/>
  <c r="F420" i="12"/>
  <c r="E421" i="12"/>
  <c r="F421" i="12"/>
  <c r="E422" i="12"/>
  <c r="F422" i="12"/>
  <c r="E423" i="12"/>
  <c r="F423" i="12"/>
  <c r="E424" i="12"/>
  <c r="F424" i="12"/>
  <c r="E425" i="12"/>
  <c r="F425" i="12"/>
  <c r="E426" i="12"/>
  <c r="F426" i="12"/>
  <c r="E427" i="12"/>
  <c r="F427" i="12"/>
  <c r="E428" i="12"/>
  <c r="F428" i="12"/>
  <c r="E429" i="12"/>
  <c r="F429" i="12"/>
  <c r="E430" i="12"/>
  <c r="F430" i="12"/>
  <c r="E431" i="12"/>
  <c r="F431" i="12"/>
  <c r="E432" i="12"/>
  <c r="F432" i="12"/>
  <c r="E433" i="12"/>
  <c r="F433" i="12"/>
  <c r="E434" i="12"/>
  <c r="F434" i="12"/>
  <c r="E435" i="12"/>
  <c r="F435" i="12"/>
  <c r="E436" i="12"/>
  <c r="F436" i="12"/>
  <c r="E437" i="12"/>
  <c r="F437" i="12"/>
  <c r="E438" i="12"/>
  <c r="F438" i="12"/>
  <c r="E439" i="12"/>
  <c r="F439" i="12"/>
  <c r="E440" i="12"/>
  <c r="F440" i="12"/>
  <c r="E441" i="12"/>
  <c r="F441" i="12"/>
  <c r="E442" i="12"/>
  <c r="F442" i="12"/>
  <c r="E443" i="12"/>
  <c r="F443" i="12"/>
  <c r="E444" i="12"/>
  <c r="F444" i="12"/>
  <c r="E445" i="12"/>
  <c r="F445" i="12"/>
  <c r="E446" i="12"/>
  <c r="F446" i="12"/>
  <c r="E447" i="12"/>
  <c r="F447" i="12"/>
  <c r="E448" i="12"/>
  <c r="F448" i="12"/>
  <c r="E449" i="12"/>
  <c r="F449" i="12"/>
  <c r="E450" i="12"/>
  <c r="F450" i="12"/>
  <c r="E451" i="12"/>
  <c r="F451" i="12"/>
  <c r="E452" i="12"/>
  <c r="F452" i="12"/>
  <c r="E453" i="12"/>
  <c r="F453" i="12"/>
  <c r="E454" i="12"/>
  <c r="F454" i="12"/>
  <c r="E455" i="12"/>
  <c r="F455" i="12"/>
  <c r="E456" i="12"/>
  <c r="F456" i="12"/>
  <c r="E457" i="12"/>
  <c r="F457" i="12"/>
  <c r="E458" i="12"/>
  <c r="F458" i="12"/>
  <c r="E459" i="12"/>
  <c r="F459" i="12"/>
  <c r="E460" i="12"/>
  <c r="F460" i="12"/>
  <c r="E461" i="12"/>
  <c r="F461" i="12"/>
  <c r="E462" i="12"/>
  <c r="F462" i="12"/>
  <c r="E463" i="12"/>
  <c r="F463" i="12"/>
  <c r="E464" i="12"/>
  <c r="F464" i="12"/>
  <c r="E465" i="12"/>
  <c r="F465" i="12"/>
  <c r="E466" i="12"/>
  <c r="F466" i="12"/>
  <c r="E467" i="12"/>
  <c r="F467" i="12"/>
  <c r="E468" i="12"/>
  <c r="F468" i="12"/>
  <c r="E469" i="12"/>
  <c r="F469" i="12"/>
  <c r="E470" i="12"/>
  <c r="F470" i="12"/>
  <c r="E471" i="12"/>
  <c r="F471" i="12"/>
  <c r="E472" i="12"/>
  <c r="F472" i="12"/>
  <c r="E473" i="12"/>
  <c r="F473" i="12"/>
  <c r="E474" i="12"/>
  <c r="F474" i="12"/>
  <c r="E475" i="12"/>
  <c r="F475" i="12"/>
  <c r="E476" i="12"/>
  <c r="F476" i="12"/>
  <c r="E477" i="12"/>
  <c r="F477" i="12"/>
  <c r="E478" i="12"/>
  <c r="F478" i="12"/>
  <c r="E479" i="12"/>
  <c r="F479" i="12"/>
  <c r="E480" i="12"/>
  <c r="F480" i="12"/>
  <c r="E481" i="12"/>
  <c r="F481" i="12"/>
  <c r="E482" i="12"/>
  <c r="F482" i="12"/>
  <c r="E483" i="12"/>
  <c r="F483" i="12"/>
  <c r="E484" i="12"/>
  <c r="F484" i="12"/>
  <c r="E485" i="12"/>
  <c r="F485" i="12"/>
  <c r="E486" i="12"/>
  <c r="F486" i="12"/>
  <c r="E487" i="12"/>
  <c r="F487" i="12"/>
  <c r="E488" i="12"/>
  <c r="F488" i="12"/>
  <c r="E489" i="12"/>
  <c r="F489" i="12"/>
  <c r="E490" i="12"/>
  <c r="F490" i="12"/>
  <c r="E491" i="12"/>
  <c r="F491" i="12"/>
  <c r="E492" i="12"/>
  <c r="F492" i="12"/>
  <c r="E493" i="12"/>
  <c r="F493" i="12"/>
  <c r="E494" i="12"/>
  <c r="F494" i="12"/>
  <c r="E495" i="12"/>
  <c r="F495" i="12"/>
  <c r="E496" i="12"/>
  <c r="F496" i="12"/>
  <c r="E497" i="12"/>
  <c r="F497" i="12"/>
  <c r="E498" i="12"/>
  <c r="F498" i="12"/>
  <c r="E499" i="12"/>
  <c r="F499" i="12"/>
  <c r="E500" i="12"/>
  <c r="F500" i="12"/>
  <c r="E501" i="12"/>
  <c r="F501" i="12"/>
  <c r="E502" i="12"/>
  <c r="F502" i="12"/>
  <c r="E503" i="12"/>
  <c r="F503" i="12"/>
  <c r="E504" i="12"/>
  <c r="F504" i="12"/>
  <c r="E505" i="12"/>
  <c r="F505" i="12"/>
  <c r="E506" i="12"/>
  <c r="F506" i="12"/>
  <c r="E507" i="12"/>
  <c r="F507" i="12"/>
  <c r="E508" i="12"/>
  <c r="F508" i="12"/>
  <c r="E509" i="12"/>
  <c r="F509" i="12"/>
  <c r="E510" i="12"/>
  <c r="F510" i="12"/>
  <c r="E511" i="12"/>
  <c r="F511" i="12"/>
  <c r="E512" i="12"/>
  <c r="F512" i="12"/>
  <c r="E513" i="12"/>
  <c r="F513" i="12"/>
  <c r="E514" i="12"/>
  <c r="F514" i="12"/>
  <c r="E515" i="12"/>
  <c r="F515" i="12"/>
  <c r="E516" i="12"/>
  <c r="F516" i="12"/>
  <c r="E517" i="12"/>
  <c r="F517" i="12"/>
  <c r="E518" i="12"/>
  <c r="F518" i="12"/>
  <c r="E519" i="12"/>
  <c r="F519" i="12"/>
  <c r="E520" i="12"/>
  <c r="F520" i="12"/>
  <c r="E521" i="12"/>
  <c r="F521" i="12"/>
  <c r="E522" i="12"/>
  <c r="F522" i="12"/>
  <c r="E523" i="12"/>
  <c r="F523" i="12"/>
  <c r="E524" i="12"/>
  <c r="F524" i="12"/>
  <c r="E525" i="12"/>
  <c r="F525" i="12"/>
  <c r="E526" i="12"/>
  <c r="F526" i="12"/>
  <c r="E527" i="12"/>
  <c r="F527" i="12"/>
  <c r="E528" i="12"/>
  <c r="F528" i="12"/>
  <c r="E529" i="12"/>
  <c r="F529" i="12"/>
  <c r="E530" i="12"/>
  <c r="F530" i="12"/>
  <c r="E531" i="12"/>
  <c r="F531" i="12"/>
  <c r="E532" i="12"/>
  <c r="F532" i="12"/>
  <c r="E533" i="12"/>
  <c r="F533" i="12"/>
  <c r="E534" i="12"/>
  <c r="F534" i="12"/>
  <c r="E535" i="12"/>
  <c r="F535" i="12"/>
  <c r="E536" i="12"/>
  <c r="F536" i="12"/>
  <c r="E537" i="12"/>
  <c r="F537" i="12"/>
  <c r="E538" i="12"/>
  <c r="F538" i="12"/>
  <c r="E539" i="12"/>
  <c r="F539" i="12"/>
  <c r="E540" i="12"/>
  <c r="F540" i="12"/>
  <c r="E541" i="12"/>
  <c r="F541" i="12"/>
  <c r="E542" i="12"/>
  <c r="F542" i="12"/>
  <c r="E543" i="12"/>
  <c r="F543" i="12"/>
  <c r="E544" i="12"/>
  <c r="F544" i="12"/>
  <c r="E545" i="12"/>
  <c r="F545" i="12"/>
  <c r="E546" i="12"/>
  <c r="F546" i="12"/>
  <c r="E547" i="12"/>
  <c r="F547" i="12"/>
  <c r="E548" i="12"/>
  <c r="F548" i="12"/>
  <c r="E549" i="12"/>
  <c r="F549" i="12"/>
  <c r="E550" i="12"/>
  <c r="F550" i="12"/>
  <c r="E551" i="12"/>
  <c r="F551" i="12"/>
  <c r="E552" i="12"/>
  <c r="F552" i="12"/>
  <c r="E553" i="12"/>
  <c r="F553" i="12"/>
  <c r="E554" i="12"/>
  <c r="F554" i="12"/>
  <c r="E555" i="12"/>
  <c r="F555" i="12"/>
  <c r="E556" i="12"/>
  <c r="F556" i="12"/>
  <c r="E557" i="12"/>
  <c r="F557" i="12"/>
  <c r="E558" i="12"/>
  <c r="F558" i="12"/>
  <c r="E559" i="12"/>
  <c r="F559" i="12"/>
  <c r="E560" i="12"/>
  <c r="F560" i="12"/>
  <c r="E561" i="12"/>
  <c r="F561" i="12"/>
  <c r="E562" i="12"/>
  <c r="F562" i="12"/>
  <c r="E563" i="12"/>
  <c r="F563" i="12"/>
  <c r="E564" i="12"/>
  <c r="F564" i="12"/>
  <c r="E565" i="12"/>
  <c r="F565" i="12"/>
  <c r="E566" i="12"/>
  <c r="F566" i="12"/>
  <c r="E567" i="12"/>
  <c r="F567" i="12"/>
  <c r="E568" i="12"/>
  <c r="F568" i="12"/>
  <c r="E569" i="12"/>
  <c r="F569" i="12"/>
  <c r="E570" i="12"/>
  <c r="F570" i="12"/>
  <c r="E571" i="12"/>
  <c r="F571" i="12"/>
  <c r="E572" i="12"/>
  <c r="F572" i="12"/>
  <c r="E573" i="12"/>
  <c r="F573" i="12"/>
  <c r="E574" i="12"/>
  <c r="F574" i="12"/>
  <c r="E575" i="12"/>
  <c r="F575" i="12"/>
  <c r="E576" i="12"/>
  <c r="F576" i="12"/>
  <c r="E577" i="12"/>
  <c r="F577" i="12"/>
  <c r="E578" i="12"/>
  <c r="F578" i="12"/>
  <c r="E579" i="12"/>
  <c r="F579" i="12"/>
  <c r="E580" i="12"/>
  <c r="F580" i="12"/>
  <c r="E581" i="12"/>
  <c r="F581" i="12"/>
  <c r="E582" i="12"/>
  <c r="F582" i="12"/>
  <c r="E583" i="12"/>
  <c r="F583" i="12"/>
  <c r="E584" i="12"/>
  <c r="F584" i="12"/>
  <c r="E585" i="12"/>
  <c r="F585" i="12"/>
  <c r="E586" i="12"/>
  <c r="F586" i="12"/>
  <c r="E587" i="12"/>
  <c r="F587" i="12"/>
  <c r="E588" i="12"/>
  <c r="F588" i="12"/>
  <c r="E589" i="12"/>
  <c r="F589" i="12"/>
  <c r="E590" i="12"/>
  <c r="F590" i="12"/>
  <c r="E591" i="12"/>
  <c r="F591" i="12"/>
  <c r="E592" i="12"/>
  <c r="F592" i="12"/>
  <c r="E593" i="12"/>
  <c r="F593" i="12"/>
  <c r="E594" i="12"/>
  <c r="F594" i="12"/>
  <c r="E595" i="12"/>
  <c r="F595" i="12"/>
  <c r="E596" i="12"/>
  <c r="F596" i="12"/>
  <c r="E597" i="12"/>
  <c r="F597" i="12"/>
  <c r="E598" i="12"/>
  <c r="F598" i="12"/>
  <c r="E599" i="12"/>
  <c r="F599" i="12"/>
  <c r="E600" i="12"/>
  <c r="F600" i="12"/>
  <c r="E601" i="12"/>
  <c r="F601" i="12"/>
  <c r="E602" i="12"/>
  <c r="F602" i="12"/>
  <c r="E603" i="12"/>
  <c r="F603" i="12"/>
  <c r="E604" i="12"/>
  <c r="F604" i="12"/>
  <c r="E605" i="12"/>
  <c r="F605" i="12"/>
  <c r="E606" i="12"/>
  <c r="F606" i="12"/>
  <c r="E607" i="12"/>
  <c r="F607" i="12"/>
  <c r="E608" i="12"/>
  <c r="F608" i="12"/>
  <c r="E609" i="12"/>
  <c r="F609" i="12"/>
  <c r="E610" i="12"/>
  <c r="F610" i="12"/>
  <c r="E611" i="12"/>
  <c r="F611" i="12"/>
  <c r="E612" i="12"/>
  <c r="F612" i="12"/>
  <c r="E613" i="12"/>
  <c r="F613" i="12"/>
  <c r="E614" i="12"/>
  <c r="F614" i="12"/>
  <c r="E615" i="12"/>
  <c r="F615" i="12"/>
  <c r="E616" i="12"/>
  <c r="F616" i="12"/>
  <c r="E617" i="12"/>
  <c r="F617" i="12"/>
  <c r="E618" i="12"/>
  <c r="F618" i="12"/>
  <c r="E619" i="12"/>
  <c r="F619" i="12"/>
  <c r="E620" i="12"/>
  <c r="F620" i="12"/>
  <c r="E621" i="12"/>
  <c r="F621" i="12"/>
  <c r="E622" i="12"/>
  <c r="F622" i="12"/>
  <c r="E623" i="12"/>
  <c r="F623" i="12"/>
  <c r="E624" i="12"/>
  <c r="F624" i="12"/>
  <c r="E625" i="12"/>
  <c r="F625" i="12"/>
  <c r="E626" i="12"/>
  <c r="F626" i="12"/>
  <c r="E627" i="12"/>
  <c r="F627" i="12"/>
  <c r="E628" i="12"/>
  <c r="F628" i="12"/>
  <c r="E629" i="12"/>
  <c r="F629" i="12"/>
  <c r="E630" i="12"/>
  <c r="F630" i="12"/>
  <c r="E631" i="12"/>
  <c r="F631" i="12"/>
  <c r="E632" i="12"/>
  <c r="F632" i="12"/>
  <c r="E633" i="12"/>
  <c r="F633" i="12"/>
  <c r="E634" i="12"/>
  <c r="F634" i="12"/>
  <c r="E635" i="12"/>
  <c r="F635" i="12"/>
  <c r="E636" i="12"/>
  <c r="F636" i="12"/>
  <c r="E637" i="12"/>
  <c r="F637" i="12"/>
  <c r="E638" i="12"/>
  <c r="F638" i="12"/>
  <c r="E639" i="12"/>
  <c r="F639" i="12"/>
  <c r="E640" i="12"/>
  <c r="F640" i="12"/>
  <c r="E641" i="12"/>
  <c r="F641" i="12"/>
  <c r="E642" i="12"/>
  <c r="F642" i="12"/>
  <c r="E643" i="12"/>
  <c r="F643" i="12"/>
  <c r="E644" i="12"/>
  <c r="F644" i="12"/>
  <c r="E645" i="12"/>
  <c r="F645" i="12"/>
  <c r="E646" i="12"/>
  <c r="F646" i="12"/>
  <c r="E647" i="12"/>
  <c r="F647" i="12"/>
  <c r="E648" i="12"/>
  <c r="F648" i="12"/>
  <c r="E649" i="12"/>
  <c r="F649" i="12"/>
  <c r="E650" i="12"/>
  <c r="F650" i="12"/>
  <c r="E651" i="12"/>
  <c r="F651" i="12"/>
  <c r="E652" i="12"/>
  <c r="F652" i="12"/>
  <c r="E653" i="12"/>
  <c r="F653" i="12"/>
  <c r="E654" i="12"/>
  <c r="F654" i="12"/>
  <c r="E655" i="12"/>
  <c r="F655" i="12"/>
  <c r="E656" i="12"/>
  <c r="F656" i="12"/>
  <c r="E657" i="12"/>
  <c r="F657" i="12"/>
  <c r="E658" i="12"/>
  <c r="F658" i="12"/>
  <c r="E659" i="12"/>
  <c r="F659" i="12"/>
  <c r="E660" i="12"/>
  <c r="F660" i="12"/>
  <c r="E661" i="12"/>
  <c r="F661" i="12"/>
  <c r="E662" i="12"/>
  <c r="F662" i="12"/>
  <c r="E663" i="12"/>
  <c r="F663" i="12"/>
  <c r="E664" i="12"/>
  <c r="F664" i="12"/>
  <c r="E665" i="12"/>
  <c r="F665" i="12"/>
  <c r="E666" i="12"/>
  <c r="F666" i="12"/>
  <c r="E667" i="12"/>
  <c r="F667" i="12"/>
  <c r="E668" i="12"/>
  <c r="F668" i="12"/>
  <c r="E669" i="12"/>
  <c r="F669" i="12"/>
  <c r="E670" i="12"/>
  <c r="F670" i="12"/>
  <c r="E671" i="12"/>
  <c r="F671" i="12"/>
  <c r="E672" i="12"/>
  <c r="F672" i="12"/>
  <c r="E673" i="12"/>
  <c r="F673" i="12"/>
  <c r="E674" i="12"/>
  <c r="F674" i="12"/>
  <c r="E675" i="12"/>
  <c r="F675" i="12"/>
  <c r="E676" i="12"/>
  <c r="F676" i="12"/>
  <c r="E677" i="12"/>
  <c r="F677" i="12"/>
  <c r="E678" i="12"/>
  <c r="F678" i="12"/>
  <c r="E679" i="12"/>
  <c r="F679" i="12"/>
  <c r="E680" i="12"/>
  <c r="F680" i="12"/>
  <c r="E681" i="12"/>
  <c r="F681" i="12"/>
  <c r="E682" i="12"/>
  <c r="F682" i="12"/>
  <c r="E683" i="12"/>
  <c r="F683" i="12"/>
  <c r="E684" i="12"/>
  <c r="F684" i="12"/>
  <c r="E685" i="12"/>
  <c r="F685" i="12"/>
  <c r="E686" i="12"/>
  <c r="F686" i="12"/>
  <c r="E687" i="12"/>
  <c r="F687" i="12"/>
  <c r="E688" i="12"/>
  <c r="F688" i="12"/>
  <c r="E689" i="12"/>
  <c r="F689" i="12"/>
  <c r="E690" i="12"/>
  <c r="F690" i="12"/>
  <c r="E691" i="12"/>
  <c r="F691" i="12"/>
  <c r="E692" i="12"/>
  <c r="F692" i="12"/>
  <c r="E693" i="12"/>
  <c r="F693" i="12"/>
  <c r="E694" i="12"/>
  <c r="F694" i="12"/>
  <c r="E695" i="12"/>
  <c r="F695" i="12"/>
  <c r="E696" i="12"/>
  <c r="F696" i="12"/>
  <c r="E697" i="12"/>
  <c r="F697" i="12"/>
  <c r="E698" i="12"/>
  <c r="F698" i="12"/>
  <c r="E699" i="12"/>
  <c r="F699" i="12"/>
  <c r="E700" i="12"/>
  <c r="F700" i="12"/>
  <c r="E701" i="12"/>
  <c r="F701" i="12"/>
  <c r="E702" i="12"/>
  <c r="F702" i="12"/>
  <c r="E703" i="12"/>
  <c r="F703" i="12"/>
  <c r="E704" i="12"/>
  <c r="F704" i="12"/>
  <c r="E705" i="12"/>
  <c r="F705" i="12"/>
  <c r="E706" i="12"/>
  <c r="F706" i="12"/>
  <c r="E707" i="12"/>
  <c r="F707" i="12"/>
  <c r="E708" i="12"/>
  <c r="F708" i="12"/>
  <c r="E709" i="12"/>
  <c r="F709" i="12"/>
  <c r="E710" i="12"/>
  <c r="F710" i="12"/>
  <c r="E711" i="12"/>
  <c r="F711" i="12"/>
  <c r="E712" i="12"/>
  <c r="F712" i="12"/>
  <c r="E713" i="12"/>
  <c r="F713" i="12"/>
  <c r="E714" i="12"/>
  <c r="F714" i="12"/>
  <c r="E715" i="12"/>
  <c r="F715" i="12"/>
  <c r="E716" i="12"/>
  <c r="F716" i="12"/>
  <c r="E717" i="12"/>
  <c r="F717" i="12"/>
  <c r="E718" i="12"/>
  <c r="F718" i="12"/>
  <c r="E719" i="12"/>
  <c r="F719" i="12"/>
  <c r="E720" i="12"/>
  <c r="F720" i="12"/>
  <c r="E721" i="12"/>
  <c r="F721" i="12"/>
  <c r="E722" i="12"/>
  <c r="F722" i="12"/>
  <c r="E723" i="12"/>
  <c r="F723" i="12"/>
  <c r="E724" i="12"/>
  <c r="F724" i="12"/>
  <c r="E725" i="12"/>
  <c r="F725" i="12"/>
  <c r="E726" i="12"/>
  <c r="F726" i="12"/>
  <c r="E727" i="12"/>
  <c r="F727" i="12"/>
  <c r="E728" i="12"/>
  <c r="F728" i="12"/>
  <c r="E729" i="12"/>
  <c r="F729" i="12"/>
  <c r="E730" i="12"/>
  <c r="F730" i="12"/>
  <c r="E731" i="12"/>
  <c r="F731" i="12"/>
  <c r="E732" i="12"/>
  <c r="F732" i="12"/>
  <c r="E733" i="12"/>
  <c r="F733" i="12"/>
  <c r="E734" i="12"/>
  <c r="F734" i="12"/>
  <c r="E735" i="12"/>
  <c r="F735" i="12"/>
  <c r="E736" i="12"/>
  <c r="F736" i="12"/>
  <c r="E737" i="12"/>
  <c r="F737" i="12"/>
  <c r="E738" i="12"/>
  <c r="F738" i="12"/>
  <c r="E739" i="12"/>
  <c r="F739" i="12"/>
  <c r="E740" i="12"/>
  <c r="F740" i="12"/>
  <c r="E741" i="12"/>
  <c r="F741" i="12"/>
  <c r="E742" i="12"/>
  <c r="F742" i="12"/>
  <c r="E743" i="12"/>
  <c r="F743" i="12"/>
  <c r="E744" i="12"/>
  <c r="F744" i="12"/>
  <c r="E745" i="12"/>
  <c r="F745" i="12"/>
  <c r="E746" i="12"/>
  <c r="F746" i="12"/>
  <c r="E747" i="12"/>
  <c r="F747" i="12"/>
  <c r="E748" i="12"/>
  <c r="F748" i="12"/>
  <c r="E749" i="12"/>
  <c r="F749" i="12"/>
  <c r="E750" i="12"/>
  <c r="F750" i="12"/>
  <c r="E751" i="12"/>
  <c r="F751" i="12"/>
  <c r="E752" i="12"/>
  <c r="F752" i="12"/>
  <c r="E753" i="12"/>
  <c r="F753" i="12"/>
  <c r="E754" i="12"/>
  <c r="F754" i="12"/>
  <c r="E755" i="12"/>
  <c r="F755" i="12"/>
  <c r="E756" i="12"/>
  <c r="F756" i="12"/>
  <c r="E757" i="12"/>
  <c r="F757" i="12"/>
  <c r="E758" i="12"/>
  <c r="F758" i="12"/>
  <c r="E759" i="12"/>
  <c r="F759" i="12"/>
  <c r="E760" i="12"/>
  <c r="F760" i="12"/>
  <c r="E761" i="12"/>
  <c r="F761" i="12"/>
  <c r="E762" i="12"/>
  <c r="F762" i="12"/>
  <c r="E763" i="12"/>
  <c r="F763" i="12"/>
  <c r="E764" i="12"/>
  <c r="F764" i="12"/>
  <c r="E765" i="12"/>
  <c r="F765" i="12"/>
  <c r="E766" i="12"/>
  <c r="F766" i="12"/>
  <c r="E767" i="12"/>
  <c r="F767" i="12"/>
  <c r="E768" i="12"/>
  <c r="F768" i="12"/>
  <c r="E769" i="12"/>
  <c r="F769" i="12"/>
  <c r="E770" i="12"/>
  <c r="F770" i="12"/>
  <c r="E771" i="12"/>
  <c r="F771" i="12"/>
  <c r="E772" i="12"/>
  <c r="F772" i="12"/>
  <c r="E773" i="12"/>
  <c r="F773" i="12"/>
  <c r="E774" i="12"/>
  <c r="F774" i="12"/>
  <c r="E775" i="12"/>
  <c r="F775" i="12"/>
  <c r="E776" i="12"/>
  <c r="F776" i="12"/>
  <c r="E777" i="12"/>
  <c r="F777" i="12"/>
  <c r="E778" i="12"/>
  <c r="F778" i="12"/>
  <c r="E779" i="12"/>
  <c r="F779" i="12"/>
  <c r="E780" i="12"/>
  <c r="F780" i="12"/>
  <c r="E781" i="12"/>
  <c r="F781" i="12"/>
  <c r="E782" i="12"/>
  <c r="F782" i="12"/>
  <c r="E783" i="12"/>
  <c r="F783" i="12"/>
  <c r="E784" i="12"/>
  <c r="F784" i="12"/>
  <c r="E785" i="12"/>
  <c r="F785" i="12"/>
  <c r="E786" i="12"/>
  <c r="F786" i="12"/>
  <c r="E787" i="12"/>
  <c r="F787" i="12"/>
  <c r="E788" i="12"/>
  <c r="F788" i="12"/>
  <c r="E789" i="12"/>
  <c r="F789" i="12"/>
  <c r="E790" i="12"/>
  <c r="F790" i="12"/>
  <c r="E791" i="12"/>
  <c r="F791" i="12"/>
  <c r="E792" i="12"/>
  <c r="F792" i="12"/>
  <c r="E793" i="12"/>
  <c r="F793" i="12"/>
  <c r="E794" i="12"/>
  <c r="F794" i="12"/>
  <c r="E795" i="12"/>
  <c r="F795" i="12"/>
  <c r="E796" i="12"/>
  <c r="F796" i="12"/>
  <c r="E797" i="12"/>
  <c r="F797" i="12"/>
  <c r="E798" i="12"/>
  <c r="F798" i="12"/>
  <c r="E799" i="12"/>
  <c r="F799" i="12"/>
  <c r="E800" i="12"/>
  <c r="F800" i="12"/>
  <c r="E801" i="12"/>
  <c r="F801" i="12"/>
  <c r="E802" i="12"/>
  <c r="F802" i="12"/>
  <c r="E803" i="12"/>
  <c r="F803" i="12"/>
  <c r="E804" i="12"/>
  <c r="F804" i="12"/>
  <c r="E805" i="12"/>
  <c r="F805" i="12"/>
  <c r="E806" i="12"/>
  <c r="F806" i="12"/>
  <c r="E807" i="12"/>
  <c r="F807" i="12"/>
  <c r="E808" i="12"/>
  <c r="F808" i="12"/>
  <c r="E809" i="12"/>
  <c r="F809" i="12"/>
  <c r="E810" i="12"/>
  <c r="F810" i="12"/>
  <c r="E811" i="12"/>
  <c r="F811" i="12"/>
  <c r="E812" i="12"/>
  <c r="F812" i="12"/>
  <c r="E813" i="12"/>
  <c r="F813" i="12"/>
  <c r="E814" i="12"/>
  <c r="F814" i="12"/>
  <c r="E815" i="12"/>
  <c r="F815" i="12"/>
  <c r="E816" i="12"/>
  <c r="F816" i="12"/>
  <c r="E817" i="12"/>
  <c r="F817" i="12"/>
  <c r="E818" i="12"/>
  <c r="F818" i="12"/>
  <c r="E819" i="12"/>
  <c r="F819" i="12"/>
  <c r="E820" i="12"/>
  <c r="F820" i="12"/>
  <c r="E821" i="12"/>
  <c r="F821" i="12"/>
  <c r="E822" i="12"/>
  <c r="F822" i="12"/>
  <c r="E823" i="12"/>
  <c r="F823" i="12"/>
  <c r="E824" i="12"/>
  <c r="F824" i="12"/>
  <c r="E825" i="12"/>
  <c r="F825" i="12"/>
  <c r="E826" i="12"/>
  <c r="F826" i="12"/>
  <c r="E827" i="12"/>
  <c r="F827" i="12"/>
  <c r="E828" i="12"/>
  <c r="F828" i="12"/>
  <c r="E829" i="12"/>
  <c r="F829" i="12"/>
  <c r="E830" i="12"/>
  <c r="F830" i="12"/>
  <c r="E831" i="12"/>
  <c r="F831" i="12"/>
  <c r="E832" i="12"/>
  <c r="F832" i="12"/>
  <c r="E833" i="12"/>
  <c r="F833" i="12"/>
  <c r="E834" i="12"/>
  <c r="F834" i="12"/>
  <c r="E835" i="12"/>
  <c r="F835" i="12"/>
  <c r="E836" i="12"/>
  <c r="F836" i="12"/>
  <c r="E837" i="12"/>
  <c r="F837" i="12"/>
  <c r="E838" i="12"/>
  <c r="F838" i="12"/>
  <c r="E839" i="12"/>
  <c r="F839" i="12"/>
  <c r="E840" i="12"/>
  <c r="F840" i="12"/>
  <c r="E841" i="12"/>
  <c r="F841" i="12"/>
  <c r="E842" i="12"/>
  <c r="F842" i="12"/>
  <c r="E843" i="12"/>
  <c r="F843" i="12"/>
  <c r="E844" i="12"/>
  <c r="F844" i="12"/>
  <c r="E845" i="12"/>
  <c r="F845" i="12"/>
  <c r="E846" i="12"/>
  <c r="F846" i="12"/>
  <c r="E847" i="12"/>
  <c r="F847" i="12"/>
  <c r="E848" i="12"/>
  <c r="F848" i="12"/>
  <c r="E849" i="12"/>
  <c r="F849" i="12"/>
  <c r="E850" i="12"/>
  <c r="F850" i="12"/>
  <c r="E851" i="12"/>
  <c r="F851" i="12"/>
  <c r="E852" i="12"/>
  <c r="F852" i="12"/>
  <c r="E853" i="12"/>
  <c r="F853" i="12"/>
  <c r="E854" i="12"/>
  <c r="F854" i="12"/>
  <c r="E855" i="12"/>
  <c r="F855" i="12"/>
  <c r="E856" i="12"/>
  <c r="F856" i="12"/>
  <c r="E857" i="12"/>
  <c r="F857" i="12"/>
  <c r="E858" i="12"/>
  <c r="F858" i="12"/>
  <c r="E859" i="12"/>
  <c r="F859" i="12"/>
  <c r="E860" i="12"/>
  <c r="F860" i="12"/>
  <c r="E861" i="12"/>
  <c r="F861" i="12"/>
  <c r="E862" i="12"/>
  <c r="F862" i="12"/>
  <c r="E863" i="12"/>
  <c r="F863" i="12"/>
  <c r="E864" i="12"/>
  <c r="F864" i="12"/>
  <c r="E865" i="12"/>
  <c r="F865" i="12"/>
  <c r="E866" i="12"/>
  <c r="F866" i="12"/>
  <c r="E867" i="12"/>
  <c r="F867" i="12"/>
  <c r="E868" i="12"/>
  <c r="F868" i="12"/>
  <c r="E869" i="12"/>
  <c r="F869" i="12"/>
  <c r="E870" i="12"/>
  <c r="F870" i="12"/>
  <c r="E871" i="12"/>
  <c r="F871" i="12"/>
  <c r="E872" i="12"/>
  <c r="F872" i="12"/>
  <c r="E873" i="12"/>
  <c r="F873" i="12"/>
  <c r="E874" i="12"/>
  <c r="F874" i="12"/>
  <c r="E875" i="12"/>
  <c r="F875" i="12"/>
  <c r="E876" i="12"/>
  <c r="F876" i="12"/>
  <c r="E877" i="12"/>
  <c r="F877" i="12"/>
  <c r="E878" i="12"/>
  <c r="F878" i="12"/>
  <c r="E879" i="12"/>
  <c r="F879" i="12"/>
  <c r="E880" i="12"/>
  <c r="F880" i="12"/>
  <c r="E881" i="12"/>
  <c r="F881" i="12"/>
  <c r="E882" i="12"/>
  <c r="F882" i="12"/>
  <c r="E883" i="12"/>
  <c r="F883" i="12"/>
  <c r="E884" i="12"/>
  <c r="F884" i="12"/>
  <c r="E885" i="12"/>
  <c r="F885" i="12"/>
  <c r="E886" i="12"/>
  <c r="F886" i="12"/>
  <c r="E887" i="12"/>
  <c r="F887" i="12"/>
  <c r="E888" i="12"/>
  <c r="F888" i="12"/>
  <c r="E889" i="12"/>
  <c r="F889" i="12"/>
  <c r="E890" i="12"/>
  <c r="F890" i="12"/>
  <c r="E891" i="12"/>
  <c r="F891" i="12"/>
  <c r="E892" i="12"/>
  <c r="F892" i="12"/>
  <c r="E893" i="12"/>
  <c r="F893" i="12"/>
  <c r="E894" i="12"/>
  <c r="F894" i="12"/>
  <c r="E895" i="12"/>
  <c r="F895" i="12"/>
  <c r="E896" i="12"/>
  <c r="F896" i="12"/>
  <c r="E897" i="12"/>
  <c r="F897" i="12"/>
  <c r="E898" i="12"/>
  <c r="F898" i="12"/>
  <c r="E899" i="12"/>
  <c r="F899" i="12"/>
  <c r="E900" i="12"/>
  <c r="F900" i="12"/>
  <c r="E901" i="12"/>
  <c r="F901" i="12"/>
  <c r="E902" i="12"/>
  <c r="F902" i="12"/>
  <c r="E903" i="12"/>
  <c r="F903" i="12"/>
  <c r="E904" i="12"/>
  <c r="F904" i="12"/>
  <c r="E905" i="12"/>
  <c r="F905" i="12"/>
  <c r="E906" i="12"/>
  <c r="F906" i="12"/>
  <c r="E907" i="12"/>
  <c r="F907" i="12"/>
  <c r="E908" i="12"/>
  <c r="F908" i="12"/>
  <c r="E909" i="12"/>
  <c r="F909" i="12"/>
  <c r="E910" i="12"/>
  <c r="F910" i="12"/>
  <c r="E911" i="12"/>
  <c r="F911" i="12"/>
  <c r="E912" i="12"/>
  <c r="F912" i="12"/>
  <c r="E913" i="12"/>
  <c r="F913" i="12"/>
  <c r="E914" i="12"/>
  <c r="F914" i="12"/>
  <c r="E915" i="12"/>
  <c r="F915" i="12"/>
  <c r="E916" i="12"/>
  <c r="F916" i="12"/>
  <c r="E917" i="12"/>
  <c r="F917" i="12"/>
  <c r="E918" i="12"/>
  <c r="F918" i="12"/>
  <c r="E919" i="12"/>
  <c r="F919" i="12"/>
  <c r="E920" i="12"/>
  <c r="F920" i="12"/>
  <c r="E921" i="12"/>
  <c r="F921" i="12"/>
  <c r="E922" i="12"/>
  <c r="F922" i="12"/>
  <c r="E923" i="12"/>
  <c r="F923" i="12"/>
  <c r="E924" i="12"/>
  <c r="F924" i="12"/>
  <c r="E925" i="12"/>
  <c r="F925" i="12"/>
  <c r="E926" i="12"/>
  <c r="F926" i="12"/>
  <c r="E927" i="12"/>
  <c r="F927" i="12"/>
  <c r="E928" i="12"/>
  <c r="F928" i="12"/>
  <c r="E929" i="12"/>
  <c r="F929" i="12"/>
  <c r="E930" i="12"/>
  <c r="F930" i="12"/>
  <c r="E931" i="12"/>
  <c r="F931" i="12"/>
  <c r="E932" i="12"/>
  <c r="F932" i="12"/>
  <c r="E933" i="12"/>
  <c r="F933" i="12"/>
  <c r="E934" i="12"/>
  <c r="F934" i="12"/>
  <c r="E935" i="12"/>
  <c r="F935" i="12"/>
  <c r="E936" i="12"/>
  <c r="F936" i="12"/>
  <c r="E937" i="12"/>
  <c r="F937" i="12"/>
  <c r="E938" i="12"/>
  <c r="F938" i="12"/>
  <c r="E939" i="12"/>
  <c r="F939" i="12"/>
  <c r="E940" i="12"/>
  <c r="F940" i="12"/>
  <c r="E941" i="12"/>
  <c r="F941" i="12"/>
  <c r="E942" i="12"/>
  <c r="F942" i="12"/>
  <c r="E943" i="12"/>
  <c r="F943" i="12"/>
  <c r="E944" i="12"/>
  <c r="F944" i="12"/>
  <c r="E945" i="12"/>
  <c r="F945" i="12"/>
  <c r="E946" i="12"/>
  <c r="F946" i="12"/>
  <c r="E947" i="12"/>
  <c r="F947" i="12"/>
  <c r="E948" i="12"/>
  <c r="F948" i="12"/>
  <c r="E949" i="12"/>
  <c r="F949" i="12"/>
  <c r="E950" i="12"/>
  <c r="F950" i="12"/>
  <c r="E951" i="12"/>
  <c r="F951" i="12"/>
  <c r="E952" i="12"/>
  <c r="F952" i="12"/>
  <c r="E953" i="12"/>
  <c r="F953" i="12"/>
  <c r="E954" i="12"/>
  <c r="F954" i="12"/>
  <c r="E955" i="12"/>
  <c r="F955" i="12"/>
  <c r="E956" i="12"/>
  <c r="F956" i="12"/>
  <c r="E957" i="12"/>
  <c r="F957" i="12"/>
  <c r="E958" i="12"/>
  <c r="F958" i="12"/>
  <c r="E959" i="12"/>
  <c r="F959" i="12"/>
  <c r="E960" i="12"/>
  <c r="F960" i="12"/>
  <c r="E961" i="12"/>
  <c r="F961" i="12"/>
  <c r="E962" i="12"/>
  <c r="F962" i="12"/>
  <c r="E963" i="12"/>
  <c r="F963" i="12"/>
  <c r="E964" i="12"/>
  <c r="F964" i="12"/>
  <c r="E965" i="12"/>
  <c r="F965" i="12"/>
  <c r="E966" i="12"/>
  <c r="F966" i="12"/>
  <c r="E967" i="12"/>
  <c r="F967" i="12"/>
  <c r="E968" i="12"/>
  <c r="F968" i="12"/>
  <c r="E969" i="12"/>
  <c r="F969" i="12"/>
  <c r="E970" i="12"/>
  <c r="F970" i="12"/>
  <c r="E971" i="12"/>
  <c r="F971" i="12"/>
  <c r="E972" i="12"/>
  <c r="F972" i="12"/>
  <c r="E973" i="12"/>
  <c r="F973" i="12"/>
  <c r="E974" i="12"/>
  <c r="F974" i="12"/>
  <c r="E975" i="12"/>
  <c r="F975" i="12"/>
  <c r="E976" i="12"/>
  <c r="F976" i="12"/>
  <c r="E977" i="12"/>
  <c r="F977" i="12"/>
  <c r="E978" i="12"/>
  <c r="F978" i="12"/>
  <c r="E979" i="12"/>
  <c r="F979" i="12"/>
  <c r="E980" i="12"/>
  <c r="F980" i="12"/>
  <c r="E981" i="12"/>
  <c r="F981" i="12"/>
  <c r="E982" i="12"/>
  <c r="F982" i="12"/>
  <c r="E983" i="12"/>
  <c r="F983" i="12"/>
  <c r="E984" i="12"/>
  <c r="F984" i="12"/>
  <c r="E985" i="12"/>
  <c r="F985" i="12"/>
  <c r="E986" i="12"/>
  <c r="F986" i="12"/>
  <c r="E987" i="12"/>
  <c r="F987" i="12"/>
  <c r="E988" i="12"/>
  <c r="F988" i="12"/>
  <c r="E989" i="12"/>
  <c r="F989" i="12"/>
  <c r="E990" i="12"/>
  <c r="F990" i="12"/>
  <c r="E991" i="12"/>
  <c r="F991" i="12"/>
  <c r="E992" i="12"/>
  <c r="F992" i="12"/>
  <c r="E993" i="12"/>
  <c r="F993" i="12"/>
  <c r="E994" i="12"/>
  <c r="F994" i="12"/>
  <c r="E995" i="12"/>
  <c r="F995" i="12"/>
  <c r="E996" i="12"/>
  <c r="F996" i="12"/>
  <c r="E997" i="12"/>
  <c r="F997" i="12"/>
  <c r="E998" i="12"/>
  <c r="F998" i="12"/>
  <c r="E999" i="12"/>
  <c r="F999" i="12"/>
  <c r="E1000" i="12"/>
  <c r="F1000" i="12"/>
  <c r="E1001" i="12"/>
  <c r="F1001" i="12"/>
  <c r="E1002" i="12"/>
  <c r="F1002" i="12"/>
  <c r="E1003" i="12"/>
  <c r="F1003" i="12"/>
  <c r="E1004" i="12"/>
  <c r="F1004" i="12"/>
  <c r="E1005" i="12"/>
  <c r="F1005" i="12"/>
  <c r="E1006" i="12"/>
  <c r="F1006" i="12"/>
  <c r="E1007" i="12"/>
  <c r="F1007" i="12"/>
  <c r="E1008" i="12"/>
  <c r="F1008" i="12"/>
  <c r="E1009" i="12"/>
  <c r="F1009" i="12"/>
  <c r="E1010" i="12"/>
  <c r="F1010" i="12"/>
  <c r="E1011" i="12"/>
  <c r="F1011" i="12"/>
  <c r="E1012" i="12"/>
  <c r="F1012" i="12"/>
  <c r="E1013" i="12"/>
  <c r="F1013" i="12"/>
  <c r="E1014" i="12"/>
  <c r="F1014" i="12"/>
  <c r="E1015" i="12"/>
  <c r="F1015" i="12"/>
  <c r="E1016" i="12"/>
  <c r="F1016" i="12"/>
  <c r="E1017" i="12"/>
  <c r="F1017" i="12"/>
  <c r="E1018" i="12"/>
  <c r="F1018" i="12"/>
  <c r="E1019" i="12"/>
  <c r="F1019" i="12"/>
  <c r="E1020" i="12"/>
  <c r="F1020" i="12"/>
  <c r="E1021" i="12"/>
  <c r="F1021" i="12"/>
  <c r="E1022" i="12"/>
  <c r="F1022" i="12"/>
  <c r="E1023" i="12"/>
  <c r="F1023" i="12"/>
  <c r="E1024" i="12"/>
  <c r="F1024" i="12"/>
  <c r="E1025" i="12"/>
  <c r="F1025" i="12"/>
  <c r="E1026" i="12"/>
  <c r="F1026" i="12"/>
  <c r="E1027" i="12"/>
  <c r="F1027" i="12"/>
  <c r="E1028" i="12"/>
  <c r="F1028" i="12"/>
  <c r="E1029" i="12"/>
  <c r="F1029" i="12"/>
  <c r="E1030" i="12"/>
  <c r="F1030" i="12"/>
  <c r="E1031" i="12"/>
  <c r="F1031" i="12"/>
  <c r="E1032" i="12"/>
  <c r="F1032" i="12"/>
  <c r="E1033" i="12"/>
  <c r="F1033" i="12"/>
  <c r="E1034" i="12"/>
  <c r="F1034" i="12"/>
  <c r="E1035" i="12"/>
  <c r="F1035" i="12"/>
  <c r="E1036" i="12"/>
  <c r="F1036" i="12"/>
  <c r="E1037" i="12"/>
  <c r="F1037" i="12"/>
  <c r="E1038" i="12"/>
  <c r="F1038" i="12"/>
  <c r="E1039" i="12"/>
  <c r="F1039" i="12"/>
  <c r="E1040" i="12"/>
  <c r="F1040" i="12"/>
  <c r="E1041" i="12"/>
  <c r="F1041" i="12"/>
  <c r="E1042" i="12"/>
  <c r="F1042" i="12"/>
  <c r="E1043" i="12"/>
  <c r="F1043" i="12"/>
  <c r="E1044" i="12"/>
  <c r="F1044" i="12"/>
  <c r="E1045" i="12"/>
  <c r="F1045" i="12"/>
  <c r="E1046" i="12"/>
  <c r="F1046" i="12"/>
  <c r="E1047" i="12"/>
  <c r="F1047" i="12"/>
  <c r="E1048" i="12"/>
  <c r="F1048" i="12"/>
  <c r="E1049" i="12"/>
  <c r="F1049" i="12"/>
  <c r="E1050" i="12"/>
  <c r="F1050" i="12"/>
  <c r="E1051" i="12"/>
  <c r="F1051" i="12"/>
  <c r="E1052" i="12"/>
  <c r="F1052" i="12"/>
  <c r="E1053" i="12"/>
  <c r="F1053" i="12"/>
  <c r="E1054" i="12"/>
  <c r="F1054" i="12"/>
  <c r="E1055" i="12"/>
  <c r="F1055" i="12"/>
  <c r="E1056" i="12"/>
  <c r="F1056" i="12"/>
  <c r="E1057" i="12"/>
  <c r="F1057" i="12"/>
  <c r="E1058" i="12"/>
  <c r="F1058" i="12"/>
  <c r="E1059" i="12"/>
  <c r="F1059" i="12"/>
  <c r="E1060" i="12"/>
  <c r="F1060" i="12"/>
  <c r="E1061" i="12"/>
  <c r="F1061" i="12"/>
  <c r="E1062" i="12"/>
  <c r="F1062" i="12"/>
  <c r="E1063" i="12"/>
  <c r="F1063" i="12"/>
  <c r="E1064" i="12"/>
  <c r="F1064" i="12"/>
  <c r="E1065" i="12"/>
  <c r="F1065" i="12"/>
  <c r="E1066" i="12"/>
  <c r="F1066" i="12"/>
  <c r="E1067" i="12"/>
  <c r="F1067" i="12"/>
  <c r="E1068" i="12"/>
  <c r="F1068" i="12"/>
  <c r="E1069" i="12"/>
  <c r="F1069" i="12"/>
  <c r="E1070" i="12"/>
  <c r="F1070" i="12"/>
  <c r="E1071" i="12"/>
  <c r="F1071" i="12"/>
  <c r="E1072" i="12"/>
  <c r="F1072" i="12"/>
  <c r="E1073" i="12"/>
  <c r="F1073" i="12"/>
  <c r="E1074" i="12"/>
  <c r="F1074" i="12"/>
  <c r="E1075" i="12"/>
  <c r="F1075" i="12"/>
  <c r="E1076" i="12"/>
  <c r="F1076" i="12"/>
  <c r="E1077" i="12"/>
  <c r="F1077" i="12"/>
  <c r="E1078" i="12"/>
  <c r="F1078" i="12"/>
  <c r="E1079" i="12"/>
  <c r="F1079" i="12"/>
  <c r="E1080" i="12"/>
  <c r="F1080" i="12"/>
  <c r="E1081" i="12"/>
  <c r="F1081" i="12"/>
  <c r="E1082" i="12"/>
  <c r="F1082" i="12"/>
  <c r="E1083" i="12"/>
  <c r="F1083" i="12"/>
  <c r="E1084" i="12"/>
  <c r="F1084" i="12"/>
  <c r="E1085" i="12"/>
  <c r="F1085" i="12"/>
  <c r="E1086" i="12"/>
  <c r="F1086" i="12"/>
  <c r="E1087" i="12"/>
  <c r="F1087" i="12"/>
  <c r="E1088" i="12"/>
  <c r="F1088" i="12"/>
  <c r="E1089" i="12"/>
  <c r="F1089" i="12"/>
  <c r="E1090" i="12"/>
  <c r="F1090" i="12"/>
  <c r="E1091" i="12"/>
  <c r="F1091" i="12"/>
  <c r="E1092" i="12"/>
  <c r="F1092" i="12"/>
  <c r="E1093" i="12"/>
  <c r="F1093" i="12"/>
  <c r="E1094" i="12"/>
  <c r="F1094" i="12"/>
  <c r="E1095" i="12"/>
  <c r="F1095" i="12"/>
  <c r="E1096" i="12"/>
  <c r="F1096" i="12"/>
  <c r="E1097" i="12"/>
  <c r="F1097" i="12"/>
  <c r="E1098" i="12"/>
  <c r="F1098" i="12"/>
  <c r="E1099" i="12"/>
  <c r="F1099" i="12"/>
  <c r="E1100" i="12"/>
  <c r="F1100" i="12"/>
  <c r="E1101" i="12"/>
  <c r="F1101" i="12"/>
  <c r="E1102" i="12"/>
  <c r="F1102" i="12"/>
  <c r="E1103" i="12"/>
  <c r="F1103" i="12"/>
  <c r="E1104" i="12"/>
  <c r="F1104" i="12"/>
  <c r="E1105" i="12"/>
  <c r="F1105" i="12"/>
  <c r="E1106" i="12"/>
  <c r="F1106" i="12"/>
  <c r="E1107" i="12"/>
  <c r="F1107" i="12"/>
  <c r="E1108" i="12"/>
  <c r="F1108" i="12"/>
  <c r="E1109" i="12"/>
  <c r="F1109" i="12"/>
  <c r="E1110" i="12"/>
  <c r="F1110" i="12"/>
  <c r="E1111" i="12"/>
  <c r="F1111" i="12"/>
  <c r="E1112" i="12"/>
  <c r="F1112" i="12"/>
  <c r="E1113" i="12"/>
  <c r="F1113" i="12"/>
  <c r="E1114" i="12"/>
  <c r="F1114" i="12"/>
  <c r="E1115" i="12"/>
  <c r="F1115" i="12"/>
  <c r="E1116" i="12"/>
  <c r="F1116" i="12"/>
  <c r="E1117" i="12"/>
  <c r="F1117" i="12"/>
  <c r="E1118" i="12"/>
  <c r="F1118" i="12"/>
  <c r="E1119" i="12"/>
  <c r="F1119" i="12"/>
  <c r="E1120" i="12"/>
  <c r="F1120" i="12"/>
  <c r="E1121" i="12"/>
  <c r="F1121" i="12"/>
  <c r="E1122" i="12"/>
  <c r="F1122" i="12"/>
  <c r="E1123" i="12"/>
  <c r="F1123" i="12"/>
  <c r="E1124" i="12"/>
  <c r="F1124" i="12"/>
  <c r="E1125" i="12"/>
  <c r="F1125" i="12"/>
  <c r="E1126" i="12"/>
  <c r="F1126" i="12"/>
  <c r="E1127" i="12"/>
  <c r="F1127" i="12"/>
  <c r="E1128" i="12"/>
  <c r="F1128" i="12"/>
  <c r="E1129" i="12"/>
  <c r="F1129" i="12"/>
  <c r="E1130" i="12"/>
  <c r="F1130" i="12"/>
  <c r="E1131" i="12"/>
  <c r="F1131" i="12"/>
  <c r="E1132" i="12"/>
  <c r="F1132" i="12"/>
  <c r="E1133" i="12"/>
  <c r="F1133" i="12"/>
  <c r="E1134" i="12"/>
  <c r="F1134" i="12"/>
  <c r="E1135" i="12"/>
  <c r="F1135" i="12"/>
  <c r="E1136" i="12"/>
  <c r="F1136" i="12"/>
  <c r="E1137" i="12"/>
  <c r="F1137" i="12"/>
  <c r="E1138" i="12"/>
  <c r="F1138" i="12"/>
  <c r="E1139" i="12"/>
  <c r="F1139" i="12"/>
  <c r="E1140" i="12"/>
  <c r="F1140" i="12"/>
  <c r="E1141" i="12"/>
  <c r="F1141" i="12"/>
  <c r="E1142" i="12"/>
  <c r="F1142" i="12"/>
  <c r="E1143" i="12"/>
  <c r="F1143" i="12"/>
  <c r="E1144" i="12"/>
  <c r="F1144" i="12"/>
  <c r="E1145" i="12"/>
  <c r="F1145" i="12"/>
  <c r="E1146" i="12"/>
  <c r="F1146" i="12"/>
  <c r="E1147" i="12"/>
  <c r="F1147" i="12"/>
  <c r="E1148" i="12"/>
  <c r="F1148" i="12"/>
  <c r="E1149" i="12"/>
  <c r="F1149" i="12"/>
  <c r="E1150" i="12"/>
  <c r="F1150" i="12"/>
  <c r="E1151" i="12"/>
  <c r="F1151" i="12"/>
  <c r="E1152" i="12"/>
  <c r="F1152" i="12"/>
  <c r="E1153" i="12"/>
  <c r="F1153" i="12"/>
  <c r="E1154" i="12"/>
  <c r="F1154" i="12"/>
  <c r="E1155" i="12"/>
  <c r="F1155" i="12"/>
  <c r="E1156" i="12"/>
  <c r="F1156" i="12"/>
  <c r="E1157" i="12"/>
  <c r="F1157" i="12"/>
  <c r="E1158" i="12"/>
  <c r="F1158" i="12"/>
  <c r="E1159" i="12"/>
  <c r="F1159" i="12"/>
  <c r="E1160" i="12"/>
  <c r="F1160" i="12"/>
  <c r="E1161" i="12"/>
  <c r="F1161" i="12"/>
  <c r="E1162" i="12"/>
  <c r="F1162" i="12"/>
  <c r="E1163" i="12"/>
  <c r="F1163" i="12"/>
  <c r="E1164" i="12"/>
  <c r="F1164" i="12"/>
  <c r="E1165" i="12"/>
  <c r="F1165" i="12"/>
  <c r="E1166" i="12"/>
  <c r="F1166" i="12"/>
  <c r="E1167" i="12"/>
  <c r="F1167" i="12"/>
  <c r="E1168" i="12"/>
  <c r="F1168" i="12"/>
  <c r="E1169" i="12"/>
  <c r="F1169" i="12"/>
  <c r="E1170" i="12"/>
  <c r="F1170" i="12"/>
  <c r="E1171" i="12"/>
  <c r="F1171" i="12"/>
  <c r="E1172" i="12"/>
  <c r="F1172" i="12"/>
  <c r="E1173" i="12"/>
  <c r="F1173" i="12"/>
  <c r="E1174" i="12"/>
  <c r="F1174" i="12"/>
  <c r="E1175" i="12"/>
  <c r="F1175" i="12"/>
  <c r="E1176" i="12"/>
  <c r="F1176" i="12"/>
  <c r="E1177" i="12"/>
  <c r="F1177" i="12"/>
  <c r="E1178" i="12"/>
  <c r="F1178" i="12"/>
  <c r="E1179" i="12"/>
  <c r="F1179" i="12"/>
  <c r="E1180" i="12"/>
  <c r="F1180" i="12"/>
  <c r="E1181" i="12"/>
  <c r="F1181" i="12"/>
  <c r="E1182" i="12"/>
  <c r="F1182" i="12"/>
  <c r="E1183" i="12"/>
  <c r="F1183" i="12"/>
  <c r="E1184" i="12"/>
  <c r="F1184" i="12"/>
  <c r="E1185" i="12"/>
  <c r="F1185" i="12"/>
  <c r="E1186" i="12"/>
  <c r="F1186" i="12"/>
  <c r="E1187" i="12"/>
  <c r="F1187" i="12"/>
  <c r="E1188" i="12"/>
  <c r="F1188" i="12"/>
  <c r="E1189" i="12"/>
  <c r="F1189" i="12"/>
  <c r="E1190" i="12"/>
  <c r="F1190" i="12"/>
  <c r="E1191" i="12"/>
  <c r="F1191" i="12"/>
  <c r="E1192" i="12"/>
  <c r="F1192" i="12"/>
  <c r="E1193" i="12"/>
  <c r="F1193" i="12"/>
  <c r="E1194" i="12"/>
  <c r="F1194" i="12"/>
  <c r="E1195" i="12"/>
  <c r="F1195" i="12"/>
  <c r="E1196" i="12"/>
  <c r="F1196" i="12"/>
  <c r="E1197" i="12"/>
  <c r="F1197" i="12"/>
  <c r="E1198" i="12"/>
  <c r="F1198" i="12"/>
  <c r="E1199" i="12"/>
  <c r="F1199" i="12"/>
  <c r="E1200" i="12"/>
  <c r="F1200" i="12"/>
  <c r="E1201" i="12"/>
  <c r="F1201" i="12"/>
  <c r="E1202" i="12"/>
  <c r="F1202" i="12"/>
  <c r="E1203" i="12"/>
  <c r="F1203" i="12"/>
  <c r="E1204" i="12"/>
  <c r="F1204" i="12"/>
  <c r="E1205" i="12"/>
  <c r="F1205" i="12"/>
  <c r="E1206" i="12"/>
  <c r="F1206" i="12"/>
  <c r="E1207" i="12"/>
  <c r="F1207" i="12"/>
  <c r="E1208" i="12"/>
  <c r="F1208" i="12"/>
  <c r="E1209" i="12"/>
  <c r="F1209" i="12"/>
  <c r="E1210" i="12"/>
  <c r="F1210" i="12"/>
  <c r="E1211" i="12"/>
  <c r="F1211" i="12"/>
  <c r="E1212" i="12"/>
  <c r="F1212" i="12"/>
  <c r="E1213" i="12"/>
  <c r="F1213" i="12"/>
  <c r="E1214" i="12"/>
  <c r="F1214" i="12"/>
  <c r="E1215" i="12"/>
  <c r="F1215" i="12"/>
  <c r="E1216" i="12"/>
  <c r="F1216" i="12"/>
  <c r="E1217" i="12"/>
  <c r="F1217" i="12"/>
  <c r="E1218" i="12"/>
  <c r="F1218" i="12"/>
  <c r="E1219" i="12"/>
  <c r="F1219" i="12"/>
  <c r="E1220" i="12"/>
  <c r="F1220" i="12"/>
  <c r="E1221" i="12"/>
  <c r="F1221" i="12"/>
  <c r="E1222" i="12"/>
  <c r="F1222" i="12"/>
  <c r="E1223" i="12"/>
  <c r="F1223" i="12"/>
  <c r="E1224" i="12"/>
  <c r="F1224" i="12"/>
  <c r="E1225" i="12"/>
  <c r="F1225" i="12"/>
  <c r="E1226" i="12"/>
  <c r="F1226" i="12"/>
  <c r="E1227" i="12"/>
  <c r="F1227" i="12"/>
  <c r="E1228" i="12"/>
  <c r="F1228" i="12"/>
  <c r="E1229" i="12"/>
  <c r="F1229" i="12"/>
  <c r="E1230" i="12"/>
  <c r="F1230" i="12"/>
  <c r="E1231" i="12"/>
  <c r="F1231" i="12"/>
  <c r="E1232" i="12"/>
  <c r="F1232" i="12"/>
  <c r="E1233" i="12"/>
  <c r="F1233" i="12"/>
  <c r="E1234" i="12"/>
  <c r="F1234" i="12"/>
  <c r="F3" i="12"/>
  <c r="E3" i="12"/>
  <c r="J5" i="12" s="1"/>
  <c r="J7" i="12" l="1"/>
  <c r="J11" i="12" s="1"/>
  <c r="J16" i="12" s="1"/>
  <c r="C21" i="9" l="1"/>
  <c r="D21" i="9" s="1"/>
  <c r="E21" i="9" s="1"/>
  <c r="F21" i="9" s="1"/>
  <c r="G21" i="9" s="1"/>
  <c r="H21" i="9" s="1"/>
  <c r="I21" i="9" s="1"/>
  <c r="J21" i="9" s="1"/>
  <c r="K21" i="9" s="1"/>
  <c r="L21" i="9" s="1"/>
  <c r="M21" i="9" s="1"/>
  <c r="N21" i="9" s="1"/>
  <c r="O21" i="9" l="1"/>
  <c r="P21" i="9" s="1"/>
  <c r="Q21" i="9" s="1"/>
  <c r="C20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L28" i="9"/>
  <c r="K28" i="9" s="1"/>
  <c r="N28" i="9"/>
  <c r="O28" i="9"/>
  <c r="J29" i="9"/>
  <c r="J30" i="9"/>
  <c r="J32" i="9"/>
  <c r="J33" i="9"/>
  <c r="F14" i="7" l="1"/>
  <c r="G14" i="7"/>
  <c r="H14" i="7"/>
  <c r="I14" i="7"/>
  <c r="E14" i="7"/>
  <c r="J53" i="6"/>
  <c r="F57" i="6"/>
  <c r="G57" i="6"/>
  <c r="H57" i="6"/>
  <c r="I57" i="6"/>
  <c r="E57" i="6"/>
  <c r="E55" i="6"/>
  <c r="F55" i="6"/>
  <c r="G55" i="6"/>
  <c r="H55" i="6"/>
  <c r="I55" i="6"/>
  <c r="E21" i="7" l="1"/>
  <c r="K67" i="5"/>
  <c r="L67" i="5"/>
  <c r="K66" i="5"/>
  <c r="L66" i="5"/>
  <c r="I24" i="3" l="1"/>
  <c r="H24" i="3"/>
  <c r="G24" i="3"/>
  <c r="F24" i="3"/>
  <c r="E24" i="3"/>
  <c r="I19" i="4" l="1"/>
  <c r="E19" i="4"/>
  <c r="F19" i="4"/>
  <c r="G19" i="4"/>
  <c r="G21" i="6" s="1"/>
  <c r="H19" i="4"/>
  <c r="K18" i="4"/>
  <c r="L18" i="4"/>
  <c r="M18" i="4"/>
  <c r="N18" i="4"/>
  <c r="J18" i="4"/>
  <c r="E42" i="6"/>
  <c r="F42" i="6"/>
  <c r="G42" i="6"/>
  <c r="H42" i="6"/>
  <c r="I42" i="6"/>
  <c r="E43" i="6"/>
  <c r="F43" i="6"/>
  <c r="G43" i="6"/>
  <c r="H43" i="6"/>
  <c r="I43" i="6"/>
  <c r="F41" i="6"/>
  <c r="G41" i="6"/>
  <c r="H41" i="6"/>
  <c r="I41" i="6"/>
  <c r="E41" i="6"/>
  <c r="K34" i="3"/>
  <c r="L34" i="3"/>
  <c r="M34" i="3"/>
  <c r="N34" i="3"/>
  <c r="J34" i="3"/>
  <c r="E29" i="6"/>
  <c r="F29" i="6"/>
  <c r="G29" i="6"/>
  <c r="H29" i="6"/>
  <c r="I29" i="6"/>
  <c r="F28" i="6"/>
  <c r="G28" i="6"/>
  <c r="H28" i="6"/>
  <c r="I28" i="6"/>
  <c r="E28" i="6"/>
  <c r="F27" i="6"/>
  <c r="G27" i="6"/>
  <c r="H27" i="6"/>
  <c r="I27" i="6"/>
  <c r="E27" i="6"/>
  <c r="E32" i="6"/>
  <c r="F32" i="6"/>
  <c r="G32" i="6"/>
  <c r="H32" i="6"/>
  <c r="I32" i="6"/>
  <c r="E33" i="6"/>
  <c r="F33" i="6"/>
  <c r="G33" i="6"/>
  <c r="H33" i="6"/>
  <c r="I33" i="6"/>
  <c r="E34" i="6"/>
  <c r="F34" i="6"/>
  <c r="G34" i="6"/>
  <c r="H34" i="6"/>
  <c r="I34" i="6"/>
  <c r="E35" i="6"/>
  <c r="F35" i="6"/>
  <c r="G35" i="6"/>
  <c r="H35" i="6"/>
  <c r="I35" i="6"/>
  <c r="F31" i="6"/>
  <c r="G31" i="6"/>
  <c r="H31" i="6"/>
  <c r="I31" i="6"/>
  <c r="E31" i="6"/>
  <c r="E38" i="6"/>
  <c r="F38" i="6"/>
  <c r="G38" i="6"/>
  <c r="H38" i="6"/>
  <c r="I38" i="6"/>
  <c r="E39" i="6"/>
  <c r="F39" i="6"/>
  <c r="G39" i="6"/>
  <c r="H39" i="6"/>
  <c r="I39" i="6"/>
  <c r="F37" i="6"/>
  <c r="G37" i="6"/>
  <c r="H37" i="6"/>
  <c r="I37" i="6"/>
  <c r="E37" i="6"/>
  <c r="E23" i="4"/>
  <c r="E24" i="4" s="1"/>
  <c r="F23" i="4"/>
  <c r="G23" i="4"/>
  <c r="G24" i="4" s="1"/>
  <c r="H23" i="4"/>
  <c r="H24" i="4" s="1"/>
  <c r="I23" i="4"/>
  <c r="I24" i="4" s="1"/>
  <c r="F24" i="4"/>
  <c r="F21" i="6"/>
  <c r="H21" i="6"/>
  <c r="I21" i="6"/>
  <c r="E21" i="6"/>
  <c r="F20" i="6"/>
  <c r="G20" i="6"/>
  <c r="H20" i="6"/>
  <c r="I20" i="6"/>
  <c r="E20" i="6"/>
  <c r="J35" i="6" l="1"/>
  <c r="J42" i="6"/>
  <c r="K42" i="6" s="1"/>
  <c r="L42" i="6" s="1"/>
  <c r="M42" i="6" s="1"/>
  <c r="N42" i="6" s="1"/>
  <c r="N44" i="3" s="1"/>
  <c r="J41" i="6"/>
  <c r="J44" i="3"/>
  <c r="J43" i="6"/>
  <c r="J34" i="6"/>
  <c r="J15" i="3" s="1"/>
  <c r="J27" i="6"/>
  <c r="J6" i="3" s="1"/>
  <c r="J31" i="6"/>
  <c r="K31" i="6" s="1"/>
  <c r="J33" i="6"/>
  <c r="K33" i="6" s="1"/>
  <c r="J28" i="6"/>
  <c r="J9" i="3" s="1"/>
  <c r="J29" i="6"/>
  <c r="K29" i="6" s="1"/>
  <c r="J39" i="6"/>
  <c r="K39" i="6" s="1"/>
  <c r="J32" i="6"/>
  <c r="J13" i="3" s="1"/>
  <c r="K34" i="6"/>
  <c r="J16" i="3"/>
  <c r="K35" i="6"/>
  <c r="L44" i="3" l="1"/>
  <c r="K28" i="6"/>
  <c r="K44" i="3"/>
  <c r="M44" i="3"/>
  <c r="K32" i="6"/>
  <c r="K13" i="3" s="1"/>
  <c r="J10" i="3"/>
  <c r="K27" i="6"/>
  <c r="L27" i="6" s="1"/>
  <c r="K43" i="6"/>
  <c r="J45" i="3"/>
  <c r="K41" i="6"/>
  <c r="J43" i="3"/>
  <c r="J14" i="3"/>
  <c r="J12" i="3"/>
  <c r="J36" i="3"/>
  <c r="L34" i="6"/>
  <c r="K15" i="3"/>
  <c r="L28" i="6"/>
  <c r="K9" i="3"/>
  <c r="L29" i="6"/>
  <c r="K10" i="3"/>
  <c r="L33" i="6"/>
  <c r="K14" i="3"/>
  <c r="L35" i="6"/>
  <c r="K16" i="3"/>
  <c r="K12" i="3"/>
  <c r="L31" i="6"/>
  <c r="L39" i="6"/>
  <c r="K36" i="3"/>
  <c r="L32" i="6" l="1"/>
  <c r="E9" i="7"/>
  <c r="K6" i="3"/>
  <c r="L41" i="6"/>
  <c r="K43" i="3"/>
  <c r="L43" i="6"/>
  <c r="K45" i="3"/>
  <c r="M39" i="6"/>
  <c r="L36" i="3"/>
  <c r="M27" i="6"/>
  <c r="L6" i="3"/>
  <c r="M29" i="6"/>
  <c r="L10" i="3"/>
  <c r="M28" i="6"/>
  <c r="L9" i="3"/>
  <c r="M31" i="6"/>
  <c r="L12" i="3"/>
  <c r="M35" i="6"/>
  <c r="L16" i="3"/>
  <c r="M33" i="6"/>
  <c r="L14" i="3"/>
  <c r="M32" i="6"/>
  <c r="L13" i="3"/>
  <c r="M34" i="6"/>
  <c r="L15" i="3"/>
  <c r="F9" i="7" l="1"/>
  <c r="M43" i="6"/>
  <c r="L45" i="3"/>
  <c r="M41" i="6"/>
  <c r="L43" i="3"/>
  <c r="N34" i="6"/>
  <c r="N15" i="3" s="1"/>
  <c r="M15" i="3"/>
  <c r="N31" i="6"/>
  <c r="N12" i="3" s="1"/>
  <c r="M12" i="3"/>
  <c r="N29" i="6"/>
  <c r="N10" i="3" s="1"/>
  <c r="M10" i="3"/>
  <c r="N33" i="6"/>
  <c r="N14" i="3" s="1"/>
  <c r="M14" i="3"/>
  <c r="N35" i="6"/>
  <c r="N16" i="3" s="1"/>
  <c r="M16" i="3"/>
  <c r="N32" i="6"/>
  <c r="N13" i="3" s="1"/>
  <c r="M13" i="3"/>
  <c r="N28" i="6"/>
  <c r="N9" i="3" s="1"/>
  <c r="M9" i="3"/>
  <c r="N27" i="6"/>
  <c r="N6" i="3" s="1"/>
  <c r="M6" i="3"/>
  <c r="N39" i="6"/>
  <c r="N36" i="3" s="1"/>
  <c r="M36" i="3"/>
  <c r="G9" i="7" l="1"/>
  <c r="N41" i="6"/>
  <c r="N43" i="3" s="1"/>
  <c r="M43" i="3"/>
  <c r="N43" i="6"/>
  <c r="N45" i="3" s="1"/>
  <c r="M45" i="3"/>
  <c r="I9" i="7" l="1"/>
  <c r="H9" i="7"/>
  <c r="E13" i="6"/>
  <c r="F13" i="6"/>
  <c r="G13" i="6"/>
  <c r="H13" i="6"/>
  <c r="I13" i="6"/>
  <c r="E11" i="6"/>
  <c r="F11" i="6"/>
  <c r="G11" i="6"/>
  <c r="H11" i="6"/>
  <c r="H56" i="6" s="1"/>
  <c r="H60" i="6" s="1"/>
  <c r="I11" i="6"/>
  <c r="E15" i="6"/>
  <c r="F15" i="6"/>
  <c r="G15" i="6"/>
  <c r="H15" i="6"/>
  <c r="I15" i="6"/>
  <c r="E18" i="6"/>
  <c r="F18" i="6"/>
  <c r="G18" i="6"/>
  <c r="H18" i="6"/>
  <c r="I18" i="6"/>
  <c r="E16" i="6"/>
  <c r="F16" i="6"/>
  <c r="G16" i="6"/>
  <c r="H16" i="6"/>
  <c r="I16" i="6"/>
  <c r="F5" i="6"/>
  <c r="G5" i="6"/>
  <c r="H5" i="6"/>
  <c r="I5" i="6"/>
  <c r="E5" i="6"/>
  <c r="F4" i="6"/>
  <c r="G4" i="6"/>
  <c r="H4" i="6"/>
  <c r="I4" i="6"/>
  <c r="E4" i="6"/>
  <c r="I99" i="5"/>
  <c r="I98" i="5"/>
  <c r="I97" i="5"/>
  <c r="E96" i="5"/>
  <c r="F96" i="5"/>
  <c r="G96" i="5"/>
  <c r="H96" i="5"/>
  <c r="I96" i="5"/>
  <c r="E95" i="5"/>
  <c r="F95" i="5"/>
  <c r="G95" i="5"/>
  <c r="H95" i="5"/>
  <c r="I95" i="5"/>
  <c r="E94" i="5"/>
  <c r="F94" i="5"/>
  <c r="G94" i="5"/>
  <c r="H94" i="5"/>
  <c r="I94" i="5"/>
  <c r="E93" i="5"/>
  <c r="F93" i="5"/>
  <c r="G93" i="5"/>
  <c r="H93" i="5"/>
  <c r="I93" i="5"/>
  <c r="F37" i="3"/>
  <c r="G37" i="3"/>
  <c r="H37" i="3"/>
  <c r="I37" i="3"/>
  <c r="E37" i="3"/>
  <c r="G56" i="6" l="1"/>
  <c r="G60" i="6" s="1"/>
  <c r="F56" i="6"/>
  <c r="F60" i="6" s="1"/>
  <c r="I56" i="6"/>
  <c r="I60" i="6" s="1"/>
  <c r="E56" i="6"/>
  <c r="E60" i="6" s="1"/>
  <c r="I100" i="5"/>
  <c r="G17" i="6"/>
  <c r="H12" i="6"/>
  <c r="G14" i="6"/>
  <c r="E6" i="6"/>
  <c r="F6" i="6"/>
  <c r="F17" i="6"/>
  <c r="F14" i="6"/>
  <c r="I17" i="6"/>
  <c r="E17" i="6"/>
  <c r="I14" i="6"/>
  <c r="E14" i="6"/>
  <c r="G7" i="6"/>
  <c r="H17" i="6"/>
  <c r="E19" i="6"/>
  <c r="G12" i="6"/>
  <c r="H14" i="6"/>
  <c r="H7" i="6"/>
  <c r="I6" i="6"/>
  <c r="H19" i="6"/>
  <c r="F12" i="6"/>
  <c r="F7" i="6"/>
  <c r="G19" i="6"/>
  <c r="I12" i="6"/>
  <c r="E12" i="6"/>
  <c r="I19" i="6"/>
  <c r="E7" i="6"/>
  <c r="F19" i="6"/>
  <c r="H6" i="6"/>
  <c r="G6" i="6"/>
  <c r="I7" i="6"/>
  <c r="J14" i="6" l="1"/>
  <c r="K14" i="6" s="1"/>
  <c r="J19" i="6"/>
  <c r="K19" i="6" s="1"/>
  <c r="J17" i="6"/>
  <c r="K17" i="6" s="1"/>
  <c r="L17" i="6" l="1"/>
  <c r="M17" i="6" s="1"/>
  <c r="L19" i="6"/>
  <c r="M19" i="6" s="1"/>
  <c r="L14" i="6"/>
  <c r="M14" i="6" s="1"/>
  <c r="N19" i="6" l="1"/>
  <c r="N17" i="6"/>
  <c r="N14" i="6"/>
  <c r="E99" i="5" l="1"/>
  <c r="F99" i="5"/>
  <c r="G99" i="5"/>
  <c r="H99" i="5"/>
  <c r="E98" i="5"/>
  <c r="F98" i="5"/>
  <c r="G98" i="5"/>
  <c r="H98" i="5"/>
  <c r="E97" i="5"/>
  <c r="E100" i="5" s="1"/>
  <c r="F97" i="5"/>
  <c r="F100" i="5" s="1"/>
  <c r="G97" i="5"/>
  <c r="G100" i="5" s="1"/>
  <c r="H97" i="5"/>
  <c r="H100" i="5" s="1"/>
  <c r="E89" i="5"/>
  <c r="F89" i="5"/>
  <c r="G89" i="5"/>
  <c r="H89" i="5"/>
  <c r="I89" i="5"/>
  <c r="E88" i="5"/>
  <c r="F88" i="5"/>
  <c r="I88" i="5"/>
  <c r="E87" i="5"/>
  <c r="F87" i="5"/>
  <c r="G87" i="5"/>
  <c r="H87" i="5"/>
  <c r="I87" i="5"/>
  <c r="E86" i="5"/>
  <c r="F86" i="5"/>
  <c r="G86" i="5"/>
  <c r="H86" i="5"/>
  <c r="I86" i="5"/>
  <c r="E85" i="5"/>
  <c r="F85" i="5"/>
  <c r="G85" i="5"/>
  <c r="H85" i="5"/>
  <c r="I85" i="5"/>
  <c r="E84" i="5"/>
  <c r="F84" i="5"/>
  <c r="G84" i="5"/>
  <c r="H84" i="5"/>
  <c r="I84" i="5"/>
  <c r="E82" i="5"/>
  <c r="F82" i="5"/>
  <c r="G82" i="5"/>
  <c r="H82" i="5"/>
  <c r="I82" i="5"/>
  <c r="I73" i="5"/>
  <c r="I68" i="5"/>
  <c r="F61" i="5"/>
  <c r="G61" i="5"/>
  <c r="H61" i="5"/>
  <c r="I61" i="5"/>
  <c r="E61" i="5"/>
  <c r="F56" i="5"/>
  <c r="G56" i="5"/>
  <c r="H56" i="5"/>
  <c r="I56" i="5"/>
  <c r="E56" i="5"/>
  <c r="F55" i="5"/>
  <c r="G55" i="5"/>
  <c r="H55" i="5"/>
  <c r="I55" i="5"/>
  <c r="E55" i="5"/>
  <c r="I57" i="5" l="1"/>
  <c r="G57" i="5"/>
  <c r="H90" i="5"/>
  <c r="H101" i="5" s="1"/>
  <c r="H102" i="5" s="1"/>
  <c r="I90" i="5"/>
  <c r="I101" i="5" s="1"/>
  <c r="G90" i="5"/>
  <c r="G101" i="5" s="1"/>
  <c r="F90" i="5"/>
  <c r="F101" i="5" s="1"/>
  <c r="J71" i="5"/>
  <c r="E90" i="5"/>
  <c r="H57" i="5"/>
  <c r="J72" i="5"/>
  <c r="E57" i="5"/>
  <c r="F57" i="5"/>
  <c r="G64" i="5" s="1"/>
  <c r="F52" i="5"/>
  <c r="G52" i="5"/>
  <c r="H52" i="5"/>
  <c r="H53" i="5" s="1"/>
  <c r="I52" i="5"/>
  <c r="I53" i="5" s="1"/>
  <c r="E52" i="5"/>
  <c r="F51" i="5"/>
  <c r="G51" i="5"/>
  <c r="E51" i="5"/>
  <c r="J67" i="5" l="1"/>
  <c r="J66" i="5"/>
  <c r="G102" i="5"/>
  <c r="I102" i="5"/>
  <c r="I64" i="5"/>
  <c r="I63" i="5"/>
  <c r="E101" i="5"/>
  <c r="G53" i="5"/>
  <c r="H63" i="5" s="1"/>
  <c r="E64" i="5"/>
  <c r="F64" i="5"/>
  <c r="J73" i="5"/>
  <c r="J55" i="5" s="1"/>
  <c r="H64" i="5"/>
  <c r="E53" i="5"/>
  <c r="F53" i="5"/>
  <c r="J31" i="5"/>
  <c r="J37" i="5"/>
  <c r="J38" i="5" s="1"/>
  <c r="J34" i="5"/>
  <c r="F28" i="5"/>
  <c r="G28" i="5"/>
  <c r="H28" i="5"/>
  <c r="I28" i="5"/>
  <c r="E28" i="5"/>
  <c r="E27" i="5"/>
  <c r="F27" i="5"/>
  <c r="G27" i="5"/>
  <c r="H27" i="5"/>
  <c r="I27" i="5"/>
  <c r="E25" i="5"/>
  <c r="F25" i="5"/>
  <c r="G25" i="5"/>
  <c r="H25" i="5"/>
  <c r="I25" i="5"/>
  <c r="E23" i="5"/>
  <c r="F23" i="5"/>
  <c r="G23" i="5"/>
  <c r="H23" i="5"/>
  <c r="I23" i="5"/>
  <c r="J32" i="5" l="1"/>
  <c r="J33" i="5" s="1"/>
  <c r="J9" i="5" s="1"/>
  <c r="J42" i="3"/>
  <c r="G63" i="5"/>
  <c r="E102" i="5"/>
  <c r="F102" i="5"/>
  <c r="J25" i="5"/>
  <c r="K25" i="5" s="1"/>
  <c r="J35" i="5"/>
  <c r="J36" i="5" s="1"/>
  <c r="J17" i="5" s="1"/>
  <c r="F63" i="5"/>
  <c r="E63" i="5"/>
  <c r="K71" i="5"/>
  <c r="K72" i="5"/>
  <c r="J68" i="5"/>
  <c r="J64" i="5"/>
  <c r="J39" i="5"/>
  <c r="J13" i="5" s="1"/>
  <c r="J27" i="5"/>
  <c r="K27" i="5" s="1"/>
  <c r="J23" i="5"/>
  <c r="K23" i="5" s="1"/>
  <c r="J24" i="5" l="1"/>
  <c r="K34" i="5" s="1"/>
  <c r="K35" i="5" s="1"/>
  <c r="K36" i="5" s="1"/>
  <c r="K17" i="5" s="1"/>
  <c r="J51" i="5"/>
  <c r="E15" i="7"/>
  <c r="J63" i="5"/>
  <c r="K63" i="5" s="1"/>
  <c r="J18" i="5"/>
  <c r="J19" i="5" s="1"/>
  <c r="J6" i="5" s="1"/>
  <c r="J8" i="3" s="1"/>
  <c r="K73" i="5"/>
  <c r="K55" i="5" s="1"/>
  <c r="K68" i="5"/>
  <c r="L68" i="5"/>
  <c r="J22" i="5"/>
  <c r="K31" i="5" s="1"/>
  <c r="K64" i="5"/>
  <c r="L25" i="5"/>
  <c r="M25" i="5" s="1"/>
  <c r="N25" i="5" s="1"/>
  <c r="L27" i="5"/>
  <c r="M27" i="5" s="1"/>
  <c r="K26" i="5"/>
  <c r="L37" i="5" s="1"/>
  <c r="L23" i="5"/>
  <c r="M23" i="5" s="1"/>
  <c r="N23" i="5" s="1"/>
  <c r="J40" i="5"/>
  <c r="J26" i="5"/>
  <c r="E10" i="7" l="1"/>
  <c r="E11" i="7" s="1"/>
  <c r="C8" i="9"/>
  <c r="M66" i="5"/>
  <c r="M67" i="5"/>
  <c r="M68" i="5" s="1"/>
  <c r="K42" i="3"/>
  <c r="J41" i="3"/>
  <c r="J46" i="3" s="1"/>
  <c r="K51" i="5"/>
  <c r="N67" i="5" s="1"/>
  <c r="F15" i="7"/>
  <c r="L71" i="5"/>
  <c r="L72" i="5"/>
  <c r="J10" i="5"/>
  <c r="J11" i="5" s="1"/>
  <c r="J4" i="5" s="1"/>
  <c r="J5" i="3" s="1"/>
  <c r="L63" i="5"/>
  <c r="L64" i="5"/>
  <c r="J14" i="5"/>
  <c r="K37" i="5"/>
  <c r="J28" i="5"/>
  <c r="J14" i="4" s="1"/>
  <c r="K24" i="5"/>
  <c r="L38" i="5"/>
  <c r="L39" i="5"/>
  <c r="N27" i="5"/>
  <c r="K32" i="5"/>
  <c r="K33" i="5" s="1"/>
  <c r="E5" i="7" l="1"/>
  <c r="C6" i="9"/>
  <c r="L51" i="5"/>
  <c r="L41" i="3" s="1"/>
  <c r="N66" i="5"/>
  <c r="N68" i="5" s="1"/>
  <c r="K41" i="3"/>
  <c r="K46" i="3" s="1"/>
  <c r="M64" i="5"/>
  <c r="M63" i="5"/>
  <c r="M51" i="5"/>
  <c r="L73" i="5"/>
  <c r="K9" i="5"/>
  <c r="L34" i="5"/>
  <c r="K18" i="5"/>
  <c r="J15" i="5"/>
  <c r="J5" i="5" s="1"/>
  <c r="J7" i="3" s="1"/>
  <c r="J17" i="3" s="1"/>
  <c r="K14" i="5"/>
  <c r="K38" i="5"/>
  <c r="K39" i="5" s="1"/>
  <c r="K13" i="5" s="1"/>
  <c r="M41" i="3" l="1"/>
  <c r="L55" i="5"/>
  <c r="M71" i="5" s="1"/>
  <c r="G15" i="7"/>
  <c r="N64" i="5"/>
  <c r="N63" i="5"/>
  <c r="N51" i="5"/>
  <c r="K40" i="5"/>
  <c r="K19" i="5"/>
  <c r="K6" i="5" s="1"/>
  <c r="K8" i="3" s="1"/>
  <c r="K22" i="5"/>
  <c r="K15" i="5"/>
  <c r="K5" i="5" s="1"/>
  <c r="K7" i="3" s="1"/>
  <c r="L13" i="5"/>
  <c r="M26" i="5" s="1"/>
  <c r="N37" i="5" s="1"/>
  <c r="N38" i="5" s="1"/>
  <c r="N39" i="5" s="1"/>
  <c r="L26" i="5"/>
  <c r="M37" i="5" s="1"/>
  <c r="M38" i="5" s="1"/>
  <c r="M39" i="5" s="1"/>
  <c r="L35" i="5"/>
  <c r="L36" i="5" s="1"/>
  <c r="L17" i="5" s="1"/>
  <c r="F10" i="7" l="1"/>
  <c r="F11" i="7" s="1"/>
  <c r="D8" i="9"/>
  <c r="L14" i="5"/>
  <c r="L15" i="5" s="1"/>
  <c r="L5" i="5" s="1"/>
  <c r="L7" i="3" s="1"/>
  <c r="L42" i="3"/>
  <c r="L46" i="3" s="1"/>
  <c r="M72" i="5"/>
  <c r="M73" i="5" s="1"/>
  <c r="N41" i="3"/>
  <c r="L24" i="5"/>
  <c r="M14" i="5"/>
  <c r="M13" i="5"/>
  <c r="N13" i="5" s="1"/>
  <c r="L31" i="5"/>
  <c r="K28" i="5"/>
  <c r="K14" i="4" s="1"/>
  <c r="K10" i="5"/>
  <c r="F5" i="7" l="1"/>
  <c r="D6" i="9"/>
  <c r="M55" i="5"/>
  <c r="N71" i="5" s="1"/>
  <c r="H15" i="7"/>
  <c r="N26" i="5"/>
  <c r="N14" i="5" s="1"/>
  <c r="N15" i="5" s="1"/>
  <c r="N5" i="5" s="1"/>
  <c r="N7" i="3" s="1"/>
  <c r="K11" i="5"/>
  <c r="K4" i="5" s="1"/>
  <c r="K5" i="3" s="1"/>
  <c r="K17" i="3" s="1"/>
  <c r="L32" i="5"/>
  <c r="L33" i="5" s="1"/>
  <c r="M15" i="5"/>
  <c r="M5" i="5" s="1"/>
  <c r="M7" i="3" s="1"/>
  <c r="M34" i="5"/>
  <c r="L18" i="5"/>
  <c r="N72" i="5" l="1"/>
  <c r="N73" i="5" s="1"/>
  <c r="M42" i="3"/>
  <c r="M46" i="3" s="1"/>
  <c r="L40" i="5"/>
  <c r="L9" i="5"/>
  <c r="M35" i="5"/>
  <c r="M36" i="5" s="1"/>
  <c r="M17" i="5" s="1"/>
  <c r="L19" i="5"/>
  <c r="L6" i="5" s="1"/>
  <c r="L8" i="3" s="1"/>
  <c r="E6" i="5"/>
  <c r="F6" i="5"/>
  <c r="G6" i="5"/>
  <c r="H6" i="5"/>
  <c r="I6" i="5"/>
  <c r="I17" i="3"/>
  <c r="H17" i="3"/>
  <c r="G17" i="3"/>
  <c r="F17" i="3"/>
  <c r="E17" i="3"/>
  <c r="F19" i="5"/>
  <c r="G19" i="5"/>
  <c r="H19" i="5"/>
  <c r="I19" i="5"/>
  <c r="E19" i="5"/>
  <c r="F15" i="5"/>
  <c r="G15" i="5"/>
  <c r="H15" i="5"/>
  <c r="I15" i="5"/>
  <c r="E15" i="5"/>
  <c r="E11" i="5"/>
  <c r="F11" i="5"/>
  <c r="G11" i="5"/>
  <c r="I11" i="5"/>
  <c r="H11" i="5"/>
  <c r="E5" i="5"/>
  <c r="F5" i="5"/>
  <c r="G5" i="5"/>
  <c r="H5" i="5"/>
  <c r="I5" i="5"/>
  <c r="E4" i="5"/>
  <c r="F4" i="5"/>
  <c r="G4" i="5"/>
  <c r="H4" i="5"/>
  <c r="I4" i="5"/>
  <c r="G10" i="7" l="1"/>
  <c r="G11" i="7" s="1"/>
  <c r="E8" i="9"/>
  <c r="N55" i="5"/>
  <c r="I15" i="7"/>
  <c r="M24" i="5"/>
  <c r="L22" i="5"/>
  <c r="N42" i="3" l="1"/>
  <c r="N46" i="3" s="1"/>
  <c r="N34" i="5"/>
  <c r="N35" i="5" s="1"/>
  <c r="N36" i="5" s="1"/>
  <c r="N17" i="5" s="1"/>
  <c r="N24" i="5" s="1"/>
  <c r="M18" i="5"/>
  <c r="M19" i="5" s="1"/>
  <c r="M6" i="5" s="1"/>
  <c r="M8" i="3" s="1"/>
  <c r="M31" i="5"/>
  <c r="M32" i="5" s="1"/>
  <c r="M33" i="5" s="1"/>
  <c r="L28" i="5"/>
  <c r="L14" i="4" s="1"/>
  <c r="L10" i="5"/>
  <c r="E16" i="4"/>
  <c r="E7" i="4"/>
  <c r="F16" i="4"/>
  <c r="F7" i="4"/>
  <c r="G16" i="4"/>
  <c r="G7" i="4"/>
  <c r="I16" i="4"/>
  <c r="I7" i="4"/>
  <c r="H16" i="4"/>
  <c r="H7" i="4"/>
  <c r="E56" i="3"/>
  <c r="E46" i="3"/>
  <c r="E30" i="3"/>
  <c r="E31" i="3" s="1"/>
  <c r="E62" i="3" s="1"/>
  <c r="F56" i="3"/>
  <c r="F46" i="3"/>
  <c r="F57" i="3" s="1"/>
  <c r="F58" i="3" s="1"/>
  <c r="F30" i="3"/>
  <c r="F31" i="3" s="1"/>
  <c r="F62" i="3" s="1"/>
  <c r="G56" i="3"/>
  <c r="G46" i="3"/>
  <c r="G57" i="3" s="1"/>
  <c r="G58" i="3" s="1"/>
  <c r="I56" i="3"/>
  <c r="I46" i="3"/>
  <c r="G30" i="3"/>
  <c r="G31" i="3" s="1"/>
  <c r="G62" i="3" s="1"/>
  <c r="I30" i="3"/>
  <c r="I31" i="3" s="1"/>
  <c r="I62" i="3" s="1"/>
  <c r="H56" i="3"/>
  <c r="H46" i="3"/>
  <c r="H30" i="3"/>
  <c r="H31" i="3" s="1"/>
  <c r="H62" i="3" s="1"/>
  <c r="G5" i="7" l="1"/>
  <c r="E6" i="9"/>
  <c r="H57" i="3"/>
  <c r="H58" i="3" s="1"/>
  <c r="I57" i="3"/>
  <c r="I58" i="3" s="1"/>
  <c r="E57" i="3"/>
  <c r="E58" i="3" s="1"/>
  <c r="N18" i="5"/>
  <c r="N19" i="5" s="1"/>
  <c r="N6" i="5" s="1"/>
  <c r="N8" i="3" s="1"/>
  <c r="L11" i="5"/>
  <c r="L4" i="5" s="1"/>
  <c r="L5" i="3" s="1"/>
  <c r="L17" i="3" s="1"/>
  <c r="M9" i="5"/>
  <c r="M40" i="5"/>
  <c r="H10" i="7" l="1"/>
  <c r="H11" i="7" s="1"/>
  <c r="F8" i="9"/>
  <c r="M22" i="5"/>
  <c r="F6" i="2"/>
  <c r="G6" i="2"/>
  <c r="H6" i="2"/>
  <c r="I6" i="2"/>
  <c r="F8" i="2"/>
  <c r="G8" i="2"/>
  <c r="H8" i="2"/>
  <c r="I8" i="2"/>
  <c r="E9" i="2"/>
  <c r="F9" i="2"/>
  <c r="G9" i="2"/>
  <c r="H9" i="2"/>
  <c r="I9" i="2"/>
  <c r="J12" i="2"/>
  <c r="K12" i="2" s="1"/>
  <c r="J13" i="2"/>
  <c r="K13" i="2" s="1"/>
  <c r="J14" i="2"/>
  <c r="K14" i="2" s="1"/>
  <c r="E15" i="2"/>
  <c r="F15" i="2"/>
  <c r="G15" i="2"/>
  <c r="H15" i="2"/>
  <c r="I15" i="2"/>
  <c r="J17" i="2"/>
  <c r="K17" i="2" s="1"/>
  <c r="F28" i="2"/>
  <c r="G28" i="2"/>
  <c r="H28" i="2"/>
  <c r="I28" i="2"/>
  <c r="F30" i="2"/>
  <c r="G30" i="2"/>
  <c r="H30" i="2"/>
  <c r="I30" i="2"/>
  <c r="F32" i="2"/>
  <c r="G32" i="2"/>
  <c r="H32" i="2"/>
  <c r="I32" i="2"/>
  <c r="E33" i="2"/>
  <c r="F33" i="2"/>
  <c r="G33" i="2"/>
  <c r="H33" i="2"/>
  <c r="I33" i="2"/>
  <c r="J44" i="2"/>
  <c r="K44" i="2" s="1"/>
  <c r="G45" i="2"/>
  <c r="H45" i="2"/>
  <c r="I45" i="2"/>
  <c r="G47" i="2"/>
  <c r="H47" i="2"/>
  <c r="I47" i="2"/>
  <c r="G49" i="2"/>
  <c r="H49" i="2"/>
  <c r="I49" i="2"/>
  <c r="G51" i="2"/>
  <c r="H51" i="2"/>
  <c r="I51" i="2"/>
  <c r="J52" i="2"/>
  <c r="K52" i="2" s="1"/>
  <c r="L52" i="2" s="1"/>
  <c r="M52" i="2" s="1"/>
  <c r="N52" i="2" s="1"/>
  <c r="G53" i="2"/>
  <c r="H53" i="2"/>
  <c r="I53" i="2"/>
  <c r="F54" i="2"/>
  <c r="G54" i="2"/>
  <c r="H54" i="2"/>
  <c r="I54" i="2"/>
  <c r="J49" i="2" l="1"/>
  <c r="J8" i="2"/>
  <c r="K8" i="2" s="1"/>
  <c r="J51" i="2"/>
  <c r="N31" i="5"/>
  <c r="N32" i="5" s="1"/>
  <c r="N33" i="5" s="1"/>
  <c r="M28" i="5"/>
  <c r="M14" i="4" s="1"/>
  <c r="M10" i="5"/>
  <c r="M11" i="5" s="1"/>
  <c r="M4" i="5" s="1"/>
  <c r="M5" i="3" s="1"/>
  <c r="M17" i="3" s="1"/>
  <c r="H19" i="2"/>
  <c r="I19" i="2"/>
  <c r="E19" i="2"/>
  <c r="F19" i="2"/>
  <c r="G19" i="2"/>
  <c r="L14" i="2"/>
  <c r="M14" i="2" s="1"/>
  <c r="N14" i="2" s="1"/>
  <c r="L12" i="2"/>
  <c r="M12" i="2" s="1"/>
  <c r="J7" i="2"/>
  <c r="L44" i="2"/>
  <c r="K15" i="2"/>
  <c r="J15" i="2"/>
  <c r="L17" i="2"/>
  <c r="M17" i="2" s="1"/>
  <c r="L13" i="2"/>
  <c r="J50" i="2" l="1"/>
  <c r="L8" i="2"/>
  <c r="M8" i="2" s="1"/>
  <c r="K51" i="2"/>
  <c r="L51" i="2" s="1"/>
  <c r="H5" i="7"/>
  <c r="F6" i="9"/>
  <c r="G116" i="5"/>
  <c r="G117" i="5"/>
  <c r="G118" i="5"/>
  <c r="G119" i="5"/>
  <c r="G120" i="5"/>
  <c r="G121" i="5"/>
  <c r="G122" i="5"/>
  <c r="G112" i="5"/>
  <c r="G106" i="5"/>
  <c r="G108" i="5"/>
  <c r="G110" i="5"/>
  <c r="G111" i="5"/>
  <c r="G109" i="5"/>
  <c r="G113" i="5"/>
  <c r="H116" i="5"/>
  <c r="H117" i="5"/>
  <c r="H118" i="5"/>
  <c r="H119" i="5"/>
  <c r="H120" i="5"/>
  <c r="H121" i="5"/>
  <c r="H122" i="5"/>
  <c r="H112" i="5"/>
  <c r="H109" i="5"/>
  <c r="H111" i="5"/>
  <c r="H106" i="5"/>
  <c r="H113" i="5"/>
  <c r="H110" i="5"/>
  <c r="H108" i="5"/>
  <c r="F116" i="5"/>
  <c r="F118" i="5"/>
  <c r="F119" i="5"/>
  <c r="F120" i="5"/>
  <c r="F121" i="5"/>
  <c r="F122" i="5"/>
  <c r="F117" i="5"/>
  <c r="F110" i="5"/>
  <c r="F112" i="5"/>
  <c r="F106" i="5"/>
  <c r="F111" i="5"/>
  <c r="F109" i="5"/>
  <c r="F113" i="5"/>
  <c r="F108" i="5"/>
  <c r="K7" i="2"/>
  <c r="E116" i="5"/>
  <c r="E117" i="5"/>
  <c r="E118" i="5"/>
  <c r="E119" i="5"/>
  <c r="E120" i="5"/>
  <c r="E121" i="5"/>
  <c r="E122" i="5"/>
  <c r="E112" i="5"/>
  <c r="E106" i="5"/>
  <c r="E111" i="5"/>
  <c r="E110" i="5"/>
  <c r="E109" i="5"/>
  <c r="E113" i="5"/>
  <c r="E108" i="5"/>
  <c r="I119" i="5"/>
  <c r="I117" i="5"/>
  <c r="I121" i="5"/>
  <c r="I122" i="5"/>
  <c r="I120" i="5"/>
  <c r="I118" i="5"/>
  <c r="I116" i="5"/>
  <c r="I108" i="5"/>
  <c r="I111" i="5"/>
  <c r="I110" i="5"/>
  <c r="I109" i="5"/>
  <c r="I112" i="5"/>
  <c r="I106" i="5"/>
  <c r="I113" i="5"/>
  <c r="N40" i="5"/>
  <c r="N9" i="5"/>
  <c r="N22" i="5" s="1"/>
  <c r="J48" i="2"/>
  <c r="K48" i="2" s="1"/>
  <c r="L48" i="2" s="1"/>
  <c r="M48" i="2" s="1"/>
  <c r="N48" i="2" s="1"/>
  <c r="J46" i="2"/>
  <c r="K46" i="2" s="1"/>
  <c r="L46" i="2" s="1"/>
  <c r="M13" i="2"/>
  <c r="N13" i="2" s="1"/>
  <c r="L15" i="2"/>
  <c r="N17" i="2"/>
  <c r="N12" i="2"/>
  <c r="M44" i="2"/>
  <c r="K50" i="2" l="1"/>
  <c r="M51" i="2"/>
  <c r="N51" i="2" s="1"/>
  <c r="N8" i="2"/>
  <c r="J109" i="5"/>
  <c r="K109" i="5" s="1"/>
  <c r="I10" i="7"/>
  <c r="I11" i="7" s="1"/>
  <c r="G8" i="9"/>
  <c r="J116" i="5"/>
  <c r="K116" i="5" s="1"/>
  <c r="J121" i="5"/>
  <c r="K121" i="5" s="1"/>
  <c r="J118" i="5"/>
  <c r="K118" i="5" s="1"/>
  <c r="J113" i="5"/>
  <c r="J110" i="5"/>
  <c r="J117" i="5"/>
  <c r="J106" i="5"/>
  <c r="J111" i="5"/>
  <c r="J120" i="5"/>
  <c r="J119" i="5"/>
  <c r="J112" i="5"/>
  <c r="J108" i="5"/>
  <c r="J122" i="5"/>
  <c r="N10" i="5"/>
  <c r="N11" i="5" s="1"/>
  <c r="N4" i="5" s="1"/>
  <c r="N5" i="3" s="1"/>
  <c r="N17" i="3" s="1"/>
  <c r="N28" i="5"/>
  <c r="N14" i="4" s="1"/>
  <c r="L7" i="2"/>
  <c r="M7" i="2" s="1"/>
  <c r="N15" i="2"/>
  <c r="L50" i="2"/>
  <c r="L54" i="2" s="1"/>
  <c r="L29" i="2" s="1"/>
  <c r="J54" i="2"/>
  <c r="J29" i="2" s="1"/>
  <c r="J30" i="2" s="1"/>
  <c r="M15" i="2"/>
  <c r="M46" i="2"/>
  <c r="N46" i="2" s="1"/>
  <c r="N44" i="2"/>
  <c r="K54" i="2"/>
  <c r="K29" i="2" s="1"/>
  <c r="N7" i="2" l="1"/>
  <c r="I5" i="7"/>
  <c r="G6" i="9"/>
  <c r="K112" i="5"/>
  <c r="K106" i="5"/>
  <c r="K110" i="5"/>
  <c r="L116" i="5"/>
  <c r="K119" i="5"/>
  <c r="K117" i="5"/>
  <c r="K113" i="5"/>
  <c r="K122" i="5"/>
  <c r="K120" i="5"/>
  <c r="L118" i="5"/>
  <c r="K108" i="5"/>
  <c r="K111" i="5"/>
  <c r="L121" i="5"/>
  <c r="L109" i="5"/>
  <c r="J27" i="2"/>
  <c r="M50" i="2"/>
  <c r="L30" i="2"/>
  <c r="L27" i="2"/>
  <c r="L5" i="2" s="1"/>
  <c r="K30" i="2"/>
  <c r="K27" i="2"/>
  <c r="K5" i="2" s="1"/>
  <c r="J28" i="2" l="1"/>
  <c r="J5" i="2"/>
  <c r="J33" i="2"/>
  <c r="J9" i="2"/>
  <c r="J19" i="2" s="1"/>
  <c r="L111" i="5"/>
  <c r="M118" i="5"/>
  <c r="M109" i="5"/>
  <c r="L122" i="5"/>
  <c r="L117" i="5"/>
  <c r="M116" i="5"/>
  <c r="L106" i="5"/>
  <c r="L119" i="5"/>
  <c r="L110" i="5"/>
  <c r="M121" i="5"/>
  <c r="L108" i="5"/>
  <c r="L120" i="5"/>
  <c r="L113" i="5"/>
  <c r="L112" i="5"/>
  <c r="L28" i="2"/>
  <c r="L33" i="2"/>
  <c r="K33" i="2"/>
  <c r="K28" i="2"/>
  <c r="N50" i="2"/>
  <c r="N54" i="2" s="1"/>
  <c r="N29" i="2" s="1"/>
  <c r="M54" i="2"/>
  <c r="M29" i="2" s="1"/>
  <c r="J6" i="2" l="1"/>
  <c r="J5" i="4"/>
  <c r="J95" i="5"/>
  <c r="J51" i="3" s="1"/>
  <c r="J85" i="5"/>
  <c r="J23" i="3" s="1"/>
  <c r="J98" i="5"/>
  <c r="J54" i="3" s="1"/>
  <c r="J93" i="5"/>
  <c r="J86" i="5"/>
  <c r="J26" i="3" s="1"/>
  <c r="J96" i="5"/>
  <c r="J52" i="3" s="1"/>
  <c r="J88" i="5"/>
  <c r="J28" i="3" s="1"/>
  <c r="J89" i="5"/>
  <c r="J29" i="3" s="1"/>
  <c r="J97" i="5"/>
  <c r="J53" i="3" s="1"/>
  <c r="J84" i="5"/>
  <c r="J22" i="3" s="1"/>
  <c r="J87" i="5"/>
  <c r="J27" i="3" s="1"/>
  <c r="J82" i="5"/>
  <c r="J94" i="5"/>
  <c r="J99" i="5"/>
  <c r="J55" i="3" s="1"/>
  <c r="N118" i="5"/>
  <c r="M112" i="5"/>
  <c r="M120" i="5"/>
  <c r="N121" i="5"/>
  <c r="M119" i="5"/>
  <c r="N116" i="5"/>
  <c r="M122" i="5"/>
  <c r="M110" i="5"/>
  <c r="M106" i="5"/>
  <c r="M113" i="5"/>
  <c r="M108" i="5"/>
  <c r="M117" i="5"/>
  <c r="N109" i="5"/>
  <c r="M111" i="5"/>
  <c r="L6" i="2"/>
  <c r="L9" i="2"/>
  <c r="L19" i="2" s="1"/>
  <c r="L88" i="5" s="1"/>
  <c r="L28" i="3" s="1"/>
  <c r="M27" i="2"/>
  <c r="M5" i="2" s="1"/>
  <c r="M30" i="2"/>
  <c r="K9" i="2"/>
  <c r="K19" i="2" s="1"/>
  <c r="K6" i="2"/>
  <c r="N30" i="2"/>
  <c r="N27" i="2"/>
  <c r="N5" i="2" s="1"/>
  <c r="L94" i="5" l="1"/>
  <c r="L50" i="3" s="1"/>
  <c r="L89" i="5"/>
  <c r="L29" i="3" s="1"/>
  <c r="L87" i="5"/>
  <c r="L27" i="3" s="1"/>
  <c r="L86" i="5"/>
  <c r="L26" i="3" s="1"/>
  <c r="L96" i="5"/>
  <c r="L52" i="3" s="1"/>
  <c r="K5" i="4"/>
  <c r="K98" i="5"/>
  <c r="K54" i="3" s="1"/>
  <c r="K95" i="5"/>
  <c r="K51" i="3" s="1"/>
  <c r="K93" i="5"/>
  <c r="K85" i="5"/>
  <c r="K23" i="3" s="1"/>
  <c r="K82" i="5"/>
  <c r="K86" i="5"/>
  <c r="K26" i="3" s="1"/>
  <c r="K87" i="5"/>
  <c r="K27" i="3" s="1"/>
  <c r="K94" i="5"/>
  <c r="K84" i="5"/>
  <c r="K22" i="3" s="1"/>
  <c r="K89" i="5"/>
  <c r="K29" i="3" s="1"/>
  <c r="K99" i="5"/>
  <c r="K55" i="3" s="1"/>
  <c r="K96" i="5"/>
  <c r="K52" i="3" s="1"/>
  <c r="K97" i="5"/>
  <c r="K53" i="3" s="1"/>
  <c r="K88" i="5"/>
  <c r="K28" i="3" s="1"/>
  <c r="N108" i="5"/>
  <c r="N106" i="5"/>
  <c r="N122" i="5"/>
  <c r="N120" i="5"/>
  <c r="N113" i="5"/>
  <c r="N112" i="5"/>
  <c r="N111" i="5"/>
  <c r="N117" i="5"/>
  <c r="N110" i="5"/>
  <c r="J56" i="5"/>
  <c r="J50" i="3"/>
  <c r="L5" i="4"/>
  <c r="L85" i="5"/>
  <c r="L23" i="3" s="1"/>
  <c r="L95" i="5"/>
  <c r="L51" i="3" s="1"/>
  <c r="L93" i="5"/>
  <c r="L98" i="5"/>
  <c r="L54" i="3" s="1"/>
  <c r="L84" i="5"/>
  <c r="L22" i="3" s="1"/>
  <c r="L82" i="5"/>
  <c r="L99" i="5"/>
  <c r="L55" i="3" s="1"/>
  <c r="N119" i="5"/>
  <c r="L97" i="5"/>
  <c r="L53" i="3" s="1"/>
  <c r="J20" i="3"/>
  <c r="J90" i="5"/>
  <c r="J49" i="3"/>
  <c r="J52" i="5"/>
  <c r="J100" i="5"/>
  <c r="J4" i="6"/>
  <c r="M28" i="2"/>
  <c r="M33" i="2"/>
  <c r="N28" i="2"/>
  <c r="N33" i="2"/>
  <c r="L56" i="5" l="1"/>
  <c r="L57" i="5" s="1"/>
  <c r="J101" i="5"/>
  <c r="J102" i="5" s="1"/>
  <c r="C7" i="9" s="1"/>
  <c r="J57" i="5"/>
  <c r="J60" i="5" s="1"/>
  <c r="J53" i="5"/>
  <c r="J56" i="3"/>
  <c r="J57" i="3" s="1"/>
  <c r="J18" i="6"/>
  <c r="J15" i="4" s="1"/>
  <c r="J16" i="6"/>
  <c r="J12" i="4" s="1"/>
  <c r="J11" i="6"/>
  <c r="J13" i="6"/>
  <c r="J10" i="4" s="1"/>
  <c r="L20" i="3"/>
  <c r="L90" i="5"/>
  <c r="K49" i="3"/>
  <c r="K52" i="5"/>
  <c r="K100" i="5"/>
  <c r="J5" i="6"/>
  <c r="J6" i="4" s="1"/>
  <c r="J7" i="4" s="1"/>
  <c r="L4" i="6"/>
  <c r="L18" i="6" s="1"/>
  <c r="L15" i="4" s="1"/>
  <c r="K20" i="3"/>
  <c r="K90" i="5"/>
  <c r="L49" i="3"/>
  <c r="L56" i="3" s="1"/>
  <c r="L57" i="3" s="1"/>
  <c r="L52" i="5"/>
  <c r="L100" i="5"/>
  <c r="K56" i="5"/>
  <c r="K50" i="3"/>
  <c r="K4" i="6"/>
  <c r="K18" i="6" s="1"/>
  <c r="K15" i="4" s="1"/>
  <c r="M6" i="2"/>
  <c r="M9" i="2"/>
  <c r="M19" i="2" s="1"/>
  <c r="N6" i="2"/>
  <c r="N9" i="2"/>
  <c r="N19" i="2" s="1"/>
  <c r="N5" i="4" s="1"/>
  <c r="N89" i="5" l="1"/>
  <c r="N29" i="3" s="1"/>
  <c r="N87" i="5"/>
  <c r="N27" i="3" s="1"/>
  <c r="N82" i="5"/>
  <c r="N20" i="3" s="1"/>
  <c r="N86" i="5"/>
  <c r="N26" i="3" s="1"/>
  <c r="N94" i="5"/>
  <c r="N56" i="5" s="1"/>
  <c r="N57" i="5" s="1"/>
  <c r="N97" i="5"/>
  <c r="N53" i="3" s="1"/>
  <c r="N88" i="5"/>
  <c r="N28" i="3" s="1"/>
  <c r="E6" i="7"/>
  <c r="N96" i="5"/>
  <c r="N52" i="3" s="1"/>
  <c r="J59" i="5"/>
  <c r="J61" i="5" s="1"/>
  <c r="J65" i="5" s="1"/>
  <c r="J15" i="12" s="1"/>
  <c r="J14" i="12"/>
  <c r="J9" i="4"/>
  <c r="J56" i="6"/>
  <c r="J57" i="6" s="1"/>
  <c r="J54" i="6" s="1"/>
  <c r="K57" i="5"/>
  <c r="K60" i="5" s="1"/>
  <c r="L53" i="5"/>
  <c r="K53" i="5"/>
  <c r="K59" i="5" s="1"/>
  <c r="K101" i="5"/>
  <c r="K56" i="3"/>
  <c r="K57" i="3" s="1"/>
  <c r="J7" i="6"/>
  <c r="K16" i="6"/>
  <c r="K12" i="4" s="1"/>
  <c r="L16" i="6"/>
  <c r="L12" i="4" s="1"/>
  <c r="K11" i="6"/>
  <c r="K13" i="6"/>
  <c r="K10" i="4" s="1"/>
  <c r="L11" i="6"/>
  <c r="L13" i="6"/>
  <c r="L10" i="4" s="1"/>
  <c r="K5" i="6"/>
  <c r="K6" i="4" s="1"/>
  <c r="K7" i="4" s="1"/>
  <c r="L5" i="6"/>
  <c r="L6" i="4" s="1"/>
  <c r="L7" i="4" s="1"/>
  <c r="M5" i="4"/>
  <c r="M95" i="5"/>
  <c r="M51" i="3" s="1"/>
  <c r="M85" i="5"/>
  <c r="M23" i="3" s="1"/>
  <c r="M98" i="5"/>
  <c r="M54" i="3" s="1"/>
  <c r="M93" i="5"/>
  <c r="M84" i="5"/>
  <c r="M22" i="3" s="1"/>
  <c r="M88" i="5"/>
  <c r="M28" i="3" s="1"/>
  <c r="M99" i="5"/>
  <c r="M55" i="3" s="1"/>
  <c r="M87" i="5"/>
  <c r="M27" i="3" s="1"/>
  <c r="M86" i="5"/>
  <c r="M26" i="3" s="1"/>
  <c r="M96" i="5"/>
  <c r="M52" i="3" s="1"/>
  <c r="M82" i="5"/>
  <c r="M97" i="5"/>
  <c r="M53" i="3" s="1"/>
  <c r="M89" i="5"/>
  <c r="M29" i="3" s="1"/>
  <c r="M94" i="5"/>
  <c r="L101" i="5"/>
  <c r="N95" i="5"/>
  <c r="N51" i="3" s="1"/>
  <c r="N93" i="5"/>
  <c r="N98" i="5"/>
  <c r="N54" i="3" s="1"/>
  <c r="N85" i="5"/>
  <c r="N23" i="3" s="1"/>
  <c r="N99" i="5"/>
  <c r="N55" i="3" s="1"/>
  <c r="N84" i="5"/>
  <c r="N22" i="3" s="1"/>
  <c r="E16" i="7" l="1"/>
  <c r="E18" i="7" s="1"/>
  <c r="L59" i="5"/>
  <c r="N50" i="3"/>
  <c r="C29" i="9"/>
  <c r="J17" i="12"/>
  <c r="J18" i="12" s="1"/>
  <c r="J13" i="4"/>
  <c r="E4" i="7" s="1"/>
  <c r="L60" i="5"/>
  <c r="K61" i="5"/>
  <c r="K13" i="4" s="1"/>
  <c r="F4" i="7" s="1"/>
  <c r="L9" i="4"/>
  <c r="L56" i="6"/>
  <c r="L57" i="6" s="1"/>
  <c r="K9" i="4"/>
  <c r="K56" i="6"/>
  <c r="K57" i="6" s="1"/>
  <c r="J55" i="6"/>
  <c r="J15" i="6" s="1"/>
  <c r="J11" i="4" s="1"/>
  <c r="K53" i="6"/>
  <c r="K102" i="5"/>
  <c r="D7" i="9" s="1"/>
  <c r="L102" i="5"/>
  <c r="E7" i="9" s="1"/>
  <c r="L7" i="6"/>
  <c r="K7" i="6"/>
  <c r="N49" i="3"/>
  <c r="N56" i="3" s="1"/>
  <c r="N57" i="3" s="1"/>
  <c r="N52" i="5"/>
  <c r="N53" i="5" s="1"/>
  <c r="N100" i="5"/>
  <c r="M49" i="3"/>
  <c r="M52" i="5"/>
  <c r="M53" i="5" s="1"/>
  <c r="M100" i="5"/>
  <c r="M4" i="6"/>
  <c r="M18" i="6" s="1"/>
  <c r="M15" i="4" s="1"/>
  <c r="M90" i="5"/>
  <c r="M20" i="3"/>
  <c r="N90" i="5"/>
  <c r="N4" i="6"/>
  <c r="N18" i="6" s="1"/>
  <c r="N15" i="4" s="1"/>
  <c r="M56" i="5"/>
  <c r="M50" i="3"/>
  <c r="L61" i="5" l="1"/>
  <c r="L13" i="4" s="1"/>
  <c r="G4" i="7" s="1"/>
  <c r="J16" i="4"/>
  <c r="J17" i="4" s="1"/>
  <c r="J19" i="4" s="1"/>
  <c r="J26" i="4" s="1"/>
  <c r="C3" i="9" s="1"/>
  <c r="C5" i="9" s="1"/>
  <c r="C9" i="9" s="1"/>
  <c r="C22" i="9" s="1"/>
  <c r="F16" i="7"/>
  <c r="F18" i="7" s="1"/>
  <c r="G6" i="7"/>
  <c r="K54" i="6"/>
  <c r="L53" i="6" s="1"/>
  <c r="L54" i="6" s="1"/>
  <c r="M53" i="6" s="1"/>
  <c r="F6" i="7"/>
  <c r="J20" i="12"/>
  <c r="C17" i="9" s="1"/>
  <c r="M57" i="5"/>
  <c r="M60" i="5" s="1"/>
  <c r="M101" i="5"/>
  <c r="N16" i="6"/>
  <c r="N12" i="4" s="1"/>
  <c r="M16" i="6"/>
  <c r="M12" i="4" s="1"/>
  <c r="N11" i="6"/>
  <c r="N13" i="6"/>
  <c r="N10" i="4" s="1"/>
  <c r="M11" i="6"/>
  <c r="M13" i="6"/>
  <c r="M10" i="4" s="1"/>
  <c r="M5" i="6"/>
  <c r="M6" i="4" s="1"/>
  <c r="M7" i="4" s="1"/>
  <c r="N5" i="6"/>
  <c r="N6" i="4" s="1"/>
  <c r="N7" i="4" s="1"/>
  <c r="M59" i="5"/>
  <c r="N59" i="5"/>
  <c r="N101" i="5"/>
  <c r="M56" i="3"/>
  <c r="M57" i="3" s="1"/>
  <c r="G16" i="7" l="1"/>
  <c r="G18" i="7" s="1"/>
  <c r="J21" i="6"/>
  <c r="J23" i="6" s="1"/>
  <c r="J23" i="4" s="1"/>
  <c r="J24" i="4" s="1"/>
  <c r="C23" i="9"/>
  <c r="N60" i="5"/>
  <c r="N61" i="5" s="1"/>
  <c r="K55" i="6"/>
  <c r="K15" i="6" s="1"/>
  <c r="K11" i="4" s="1"/>
  <c r="K16" i="4" s="1"/>
  <c r="K17" i="4" s="1"/>
  <c r="K19" i="4" s="1"/>
  <c r="K21" i="6" s="1"/>
  <c r="K23" i="6" s="1"/>
  <c r="K23" i="4" s="1"/>
  <c r="K24" i="4" s="1"/>
  <c r="F3" i="7" s="1"/>
  <c r="F7" i="7" s="1"/>
  <c r="F20" i="7" s="1"/>
  <c r="N9" i="4"/>
  <c r="N56" i="6"/>
  <c r="N57" i="6" s="1"/>
  <c r="M9" i="4"/>
  <c r="M56" i="6"/>
  <c r="M57" i="6" s="1"/>
  <c r="M54" i="6" s="1"/>
  <c r="N53" i="6" s="1"/>
  <c r="L55" i="6"/>
  <c r="L15" i="6" s="1"/>
  <c r="L11" i="4" s="1"/>
  <c r="L16" i="4" s="1"/>
  <c r="L17" i="4" s="1"/>
  <c r="L19" i="4" s="1"/>
  <c r="M61" i="5"/>
  <c r="H16" i="7" s="1"/>
  <c r="H18" i="7" s="1"/>
  <c r="N102" i="5"/>
  <c r="G7" i="9" s="1"/>
  <c r="M102" i="5"/>
  <c r="F7" i="9" s="1"/>
  <c r="M7" i="6"/>
  <c r="N7" i="6"/>
  <c r="E3" i="7" l="1"/>
  <c r="E7" i="7" s="1"/>
  <c r="E20" i="7" s="1"/>
  <c r="E22" i="7" s="1"/>
  <c r="J24" i="3" s="1"/>
  <c r="F21" i="7" s="1"/>
  <c r="C11" i="13"/>
  <c r="C13" i="13" s="1"/>
  <c r="C17" i="13" s="1"/>
  <c r="C30" i="9"/>
  <c r="J38" i="6"/>
  <c r="J35" i="3" s="1"/>
  <c r="J37" i="3" s="1"/>
  <c r="J58" i="3" s="1"/>
  <c r="M13" i="4"/>
  <c r="H4" i="7" s="1"/>
  <c r="H6" i="7"/>
  <c r="L21" i="6"/>
  <c r="L23" i="6" s="1"/>
  <c r="L23" i="4" s="1"/>
  <c r="L24" i="4" s="1"/>
  <c r="G3" i="7" s="1"/>
  <c r="G7" i="7" s="1"/>
  <c r="G20" i="7" s="1"/>
  <c r="L26" i="4"/>
  <c r="E3" i="9" s="1"/>
  <c r="E5" i="9" s="1"/>
  <c r="E9" i="9" s="1"/>
  <c r="I6" i="7"/>
  <c r="K26" i="4"/>
  <c r="D3" i="9" s="1"/>
  <c r="D5" i="9" s="1"/>
  <c r="D9" i="9" s="1"/>
  <c r="J30" i="3"/>
  <c r="J31" i="3" s="1"/>
  <c r="M55" i="6"/>
  <c r="M15" i="6" s="1"/>
  <c r="M11" i="4" s="1"/>
  <c r="F22" i="7"/>
  <c r="K24" i="3" s="1"/>
  <c r="G21" i="7" s="1"/>
  <c r="N54" i="6"/>
  <c r="N55" i="6" s="1"/>
  <c r="N15" i="6" s="1"/>
  <c r="N13" i="4"/>
  <c r="I16" i="7"/>
  <c r="I18" i="7" s="1"/>
  <c r="J62" i="3" l="1"/>
  <c r="M16" i="4"/>
  <c r="M17" i="4" s="1"/>
  <c r="M19" i="4" s="1"/>
  <c r="M26" i="4" s="1"/>
  <c r="F3" i="9" s="1"/>
  <c r="F5" i="9" s="1"/>
  <c r="F9" i="9" s="1"/>
  <c r="K38" i="6"/>
  <c r="L38" i="6" s="1"/>
  <c r="L35" i="3" s="1"/>
  <c r="L37" i="3" s="1"/>
  <c r="L58" i="3" s="1"/>
  <c r="G22" i="7"/>
  <c r="L24" i="3" s="1"/>
  <c r="H21" i="7" s="1"/>
  <c r="D10" i="9"/>
  <c r="D22" i="9"/>
  <c r="D23" i="9" s="1"/>
  <c r="K30" i="3"/>
  <c r="K31" i="3" s="1"/>
  <c r="E22" i="9"/>
  <c r="E23" i="9" s="1"/>
  <c r="E10" i="9"/>
  <c r="I4" i="7"/>
  <c r="M21" i="6" l="1"/>
  <c r="M23" i="6" s="1"/>
  <c r="M23" i="4" s="1"/>
  <c r="M24" i="4" s="1"/>
  <c r="H3" i="7" s="1"/>
  <c r="H7" i="7" s="1"/>
  <c r="H20" i="7" s="1"/>
  <c r="H22" i="7" s="1"/>
  <c r="M24" i="3" s="1"/>
  <c r="I21" i="7" s="1"/>
  <c r="K35" i="3"/>
  <c r="K37" i="3" s="1"/>
  <c r="K58" i="3" s="1"/>
  <c r="K62" i="3" s="1"/>
  <c r="L30" i="3"/>
  <c r="L31" i="3" s="1"/>
  <c r="L62" i="3" s="1"/>
  <c r="F22" i="9"/>
  <c r="F23" i="9" s="1"/>
  <c r="F10" i="9"/>
  <c r="M38" i="6" l="1"/>
  <c r="M35" i="3" s="1"/>
  <c r="M37" i="3" s="1"/>
  <c r="M58" i="3" s="1"/>
  <c r="M30" i="3"/>
  <c r="M31" i="3" s="1"/>
  <c r="M62" i="3" s="1"/>
  <c r="N11" i="4" l="1"/>
  <c r="N16" i="4" s="1"/>
  <c r="N17" i="4" s="1"/>
  <c r="N19" i="4" s="1"/>
  <c r="N26" i="4" s="1"/>
  <c r="G3" i="9" l="1"/>
  <c r="N21" i="6"/>
  <c r="N23" i="6" s="1"/>
  <c r="N23" i="4" s="1"/>
  <c r="N24" i="4" s="1"/>
  <c r="G5" i="9" l="1"/>
  <c r="G9" i="9" s="1"/>
  <c r="I3" i="7"/>
  <c r="I7" i="7" s="1"/>
  <c r="I20" i="7" s="1"/>
  <c r="I22" i="7" s="1"/>
  <c r="N24" i="3" s="1"/>
  <c r="N30" i="3" s="1"/>
  <c r="N31" i="3" s="1"/>
  <c r="N38" i="6"/>
  <c r="N35" i="3" s="1"/>
  <c r="N37" i="3" s="1"/>
  <c r="N58" i="3" s="1"/>
  <c r="G22" i="9" l="1"/>
  <c r="G23" i="9" s="1"/>
  <c r="G10" i="9"/>
  <c r="H10" i="9" s="1"/>
  <c r="I10" i="9" s="1"/>
  <c r="J10" i="9" s="1"/>
  <c r="K10" i="9" s="1"/>
  <c r="L10" i="9" s="1"/>
  <c r="M10" i="9" s="1"/>
  <c r="N10" i="9" s="1"/>
  <c r="O10" i="9" s="1"/>
  <c r="P10" i="9" s="1"/>
  <c r="Q10" i="9" s="1"/>
  <c r="R10" i="9" s="1"/>
  <c r="N62" i="3"/>
  <c r="H9" i="9" l="1"/>
  <c r="H22" i="9" l="1"/>
  <c r="H23" i="9" s="1"/>
  <c r="I9" i="9"/>
  <c r="J9" i="9" l="1"/>
  <c r="I22" i="9"/>
  <c r="I23" i="9" s="1"/>
  <c r="K9" i="9" l="1"/>
  <c r="J22" i="9"/>
  <c r="J23" i="9" s="1"/>
  <c r="L9" i="9" l="1"/>
  <c r="K22" i="9"/>
  <c r="K23" i="9" s="1"/>
  <c r="M9" i="9" l="1"/>
  <c r="L22" i="9"/>
  <c r="L23" i="9" s="1"/>
  <c r="N9" i="9" l="1"/>
  <c r="M22" i="9"/>
  <c r="M23" i="9" s="1"/>
  <c r="O9" i="9" l="1"/>
  <c r="N22" i="9"/>
  <c r="N23" i="9" s="1"/>
  <c r="P9" i="9" l="1"/>
  <c r="O22" i="9"/>
  <c r="O23" i="9" s="1"/>
  <c r="Q9" i="9" l="1"/>
  <c r="Q22" i="9" s="1"/>
  <c r="P22" i="9"/>
  <c r="P23" i="9" s="1"/>
  <c r="C25" i="9" l="1"/>
  <c r="C27" i="9" s="1"/>
  <c r="Q23" i="9"/>
  <c r="C26" i="9" s="1"/>
  <c r="C28" i="9" l="1"/>
  <c r="C32" i="9" s="1"/>
  <c r="C34" i="9" s="1"/>
  <c r="J28" i="9" l="1"/>
  <c r="C16" i="13"/>
  <c r="C18" i="13" s="1"/>
  <c r="C3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67743E09-813A-4876-84D6-FF3F45AB14AB}">
      <text>
        <r>
          <rPr>
            <sz val="11"/>
            <color theme="1"/>
            <rFont val="Calibri"/>
            <family val="2"/>
            <scheme val="minor"/>
          </rPr>
          <t>======
ID#AAABrSziMHk
hpw    (2025-09-21 21:29:48)
Project Delight: Corporate Presentation</t>
        </r>
      </text>
    </comment>
  </commentList>
</comments>
</file>

<file path=xl/sharedStrings.xml><?xml version="1.0" encoding="utf-8"?>
<sst xmlns="http://schemas.openxmlformats.org/spreadsheetml/2006/main" count="572" uniqueCount="291">
  <si>
    <t>Expansion into South East Asia</t>
  </si>
  <si>
    <t>Philippines launched in Aug’24</t>
  </si>
  <si>
    <t>Brazil operations to start in Q4 FY25</t>
  </si>
  <si>
    <t xml:space="preserve">Hero's plan is to expand globally --&gt; </t>
  </si>
  <si>
    <t>Partnership with Ather, Harley Davidson &amp; Zero Motorcycles</t>
  </si>
  <si>
    <t>Invest heavily in EV and premium segment</t>
  </si>
  <si>
    <t>Capture the EV and premium segment</t>
  </si>
  <si>
    <t xml:space="preserve">Grow the core (already high market share) </t>
  </si>
  <si>
    <t xml:space="preserve">Strategy for Future </t>
  </si>
  <si>
    <t>NOTE: Figures for FY21 are not available</t>
  </si>
  <si>
    <t>NA</t>
  </si>
  <si>
    <t xml:space="preserve">Total </t>
  </si>
  <si>
    <t>-</t>
  </si>
  <si>
    <t>YOY</t>
  </si>
  <si>
    <t>Premium segment &amp; EV sales</t>
  </si>
  <si>
    <t>100 cc deluxe segment</t>
  </si>
  <si>
    <t>Scooter Segment sales</t>
  </si>
  <si>
    <t>125 cc deluxe sales</t>
  </si>
  <si>
    <t>Entry Segment</t>
  </si>
  <si>
    <t>Two Wheelers (Domestic Breakdown)</t>
  </si>
  <si>
    <t>Realization Growth %</t>
  </si>
  <si>
    <t>Realization (How much rs you get per vehicle sold)</t>
  </si>
  <si>
    <t>Capacity Utilization %</t>
  </si>
  <si>
    <t xml:space="preserve">YOY </t>
  </si>
  <si>
    <t>Export</t>
  </si>
  <si>
    <t>Domestic</t>
  </si>
  <si>
    <t>Sales Volume (two wheelers)</t>
  </si>
  <si>
    <t>Total Capacity</t>
  </si>
  <si>
    <t>Other Income</t>
  </si>
  <si>
    <t>Other operating revenue</t>
  </si>
  <si>
    <t>Services - others</t>
  </si>
  <si>
    <t>Dealer / Customer Program</t>
  </si>
  <si>
    <t>Dealers support services</t>
  </si>
  <si>
    <t xml:space="preserve">Sale of spare parts </t>
  </si>
  <si>
    <t>Sale of two wheelers</t>
  </si>
  <si>
    <t>Revenue from :-</t>
  </si>
  <si>
    <t>FY30E</t>
  </si>
  <si>
    <t>FY29E</t>
  </si>
  <si>
    <t>FY28E</t>
  </si>
  <si>
    <t>FY27E</t>
  </si>
  <si>
    <t>FY26E</t>
  </si>
  <si>
    <t>FY25</t>
  </si>
  <si>
    <t>FY24</t>
  </si>
  <si>
    <t>FY23</t>
  </si>
  <si>
    <t>FY22</t>
  </si>
  <si>
    <t>FY21</t>
  </si>
  <si>
    <t xml:space="preserve">Particulars </t>
  </si>
  <si>
    <t xml:space="preserve">NOTE: Segment wise breakdown of exports is NA </t>
  </si>
  <si>
    <t>Revenue from Operations</t>
  </si>
  <si>
    <r>
      <rPr>
        <b/>
        <sz val="11"/>
        <color theme="1"/>
        <rFont val="Calibri"/>
        <family val="2"/>
        <scheme val="minor"/>
      </rPr>
      <t>Income from services</t>
    </r>
    <r>
      <rPr>
        <sz val="11"/>
        <color theme="1"/>
        <rFont val="Calibri"/>
        <family val="2"/>
        <scheme val="minor"/>
      </rPr>
      <t xml:space="preserve"> </t>
    </r>
  </si>
  <si>
    <t>Notes</t>
  </si>
  <si>
    <t xml:space="preserve">Revenue from operations (1+2+3) </t>
  </si>
  <si>
    <t xml:space="preserve">Two Wheelers (Breakdown) </t>
  </si>
  <si>
    <t xml:space="preserve">Non-Current Assets </t>
  </si>
  <si>
    <t>Property, Plant and Equipment</t>
  </si>
  <si>
    <t>Right-of-use Assets</t>
  </si>
  <si>
    <t xml:space="preserve">Financial Assets </t>
  </si>
  <si>
    <t>i) Investments</t>
  </si>
  <si>
    <t>Other Non-current Assets</t>
  </si>
  <si>
    <t xml:space="preserve">Total Non-current Assets </t>
  </si>
  <si>
    <t>Current Assets</t>
  </si>
  <si>
    <t>Inventories</t>
  </si>
  <si>
    <t>ii) Trade Receivables</t>
  </si>
  <si>
    <t>iii) Cash and Cash Equivalents</t>
  </si>
  <si>
    <t>v) Loans</t>
  </si>
  <si>
    <t>Total Current Assets</t>
  </si>
  <si>
    <t xml:space="preserve">Total Assets </t>
  </si>
  <si>
    <t xml:space="preserve">Equities and Liabilities </t>
  </si>
  <si>
    <t xml:space="preserve">Equity  </t>
  </si>
  <si>
    <t>i) Equity Share Capital</t>
  </si>
  <si>
    <t>iii) Other Equity</t>
  </si>
  <si>
    <t>Non - Controlling Interests</t>
  </si>
  <si>
    <t xml:space="preserve">Total Equity </t>
  </si>
  <si>
    <t>Liabilities</t>
  </si>
  <si>
    <t>Non-current Liabilities</t>
  </si>
  <si>
    <t xml:space="preserve">Financial Liabilities </t>
  </si>
  <si>
    <t xml:space="preserve">i) Borrowings </t>
  </si>
  <si>
    <t xml:space="preserve">ii) Lease Liabilities </t>
  </si>
  <si>
    <t>iii) Other Financial Liabilities</t>
  </si>
  <si>
    <t>Provisions</t>
  </si>
  <si>
    <t>Deferred Tax Liabilities (Net)</t>
  </si>
  <si>
    <t xml:space="preserve">Total Non-current Liabilities  </t>
  </si>
  <si>
    <t xml:space="preserve">Current Liabilities </t>
  </si>
  <si>
    <r>
      <rPr>
        <sz val="11"/>
        <color theme="1"/>
        <rFont val="Calibri"/>
        <family val="2"/>
        <scheme val="minor"/>
      </rPr>
      <t>Financial Liabilities</t>
    </r>
    <r>
      <rPr>
        <b/>
        <sz val="11"/>
        <color theme="1"/>
        <rFont val="Calibri"/>
        <family val="2"/>
        <scheme val="minor"/>
      </rPr>
      <t xml:space="preserve"> </t>
    </r>
  </si>
  <si>
    <t>iii) Trade Payables – MSME</t>
  </si>
  <si>
    <t>iv) Trade Payables – Others</t>
  </si>
  <si>
    <t xml:space="preserve">v) Other Financial Liabilities </t>
  </si>
  <si>
    <t>Other Current Liabilities</t>
  </si>
  <si>
    <t xml:space="preserve">Total Current Liabilities </t>
  </si>
  <si>
    <t>Total Liabilities</t>
  </si>
  <si>
    <r>
      <rPr>
        <b/>
        <sz val="11"/>
        <color theme="1"/>
        <rFont val="Calibri"/>
        <family val="2"/>
        <scheme val="minor"/>
      </rPr>
      <t>Total Equity and Liabilities</t>
    </r>
    <r>
      <rPr>
        <sz val="11"/>
        <color theme="1"/>
        <rFont val="Calibri"/>
        <family val="2"/>
        <scheme val="minor"/>
      </rPr>
      <t xml:space="preserve"> </t>
    </r>
  </si>
  <si>
    <t>Income</t>
  </si>
  <si>
    <t>Total Income</t>
  </si>
  <si>
    <t>Expenses</t>
  </si>
  <si>
    <t>Employee Benefits Expense</t>
  </si>
  <si>
    <t>Finance Costs</t>
  </si>
  <si>
    <t>Depreciation and Amortisation Expense</t>
  </si>
  <si>
    <t>Other Expenses</t>
  </si>
  <si>
    <t>Total Expenses</t>
  </si>
  <si>
    <t>Other Intangible assets</t>
  </si>
  <si>
    <t>Intangible assets under development</t>
  </si>
  <si>
    <t>Equity accounted investments in associates</t>
  </si>
  <si>
    <t>ii) Loans</t>
  </si>
  <si>
    <t>iii) Others</t>
  </si>
  <si>
    <t>Income Tax Assets (Net)</t>
  </si>
  <si>
    <t xml:space="preserve">i) Investments </t>
  </si>
  <si>
    <t>vi) Others</t>
  </si>
  <si>
    <t xml:space="preserve">Income tax assets (net) </t>
  </si>
  <si>
    <t>Other current assets</t>
  </si>
  <si>
    <t>Cost of materials consumed</t>
  </si>
  <si>
    <t xml:space="preserve">Purchase of Stock-in-trade </t>
  </si>
  <si>
    <t>Change in inventories of finished goods, stock-in-trade and work-in-progress</t>
  </si>
  <si>
    <t>Exceptional item</t>
  </si>
  <si>
    <t>Profit before tax</t>
  </si>
  <si>
    <t>Tax expense</t>
  </si>
  <si>
    <t>i) Current tax</t>
  </si>
  <si>
    <t>ii) Deferred tax charge</t>
  </si>
  <si>
    <t>Total tax expense</t>
  </si>
  <si>
    <t>Net profit after taxes</t>
  </si>
  <si>
    <t>Property, Plant &amp; Equipment</t>
  </si>
  <si>
    <t>Gross Long Term Assets</t>
  </si>
  <si>
    <t>Accumulated Depreciation</t>
  </si>
  <si>
    <t xml:space="preserve">Net PPE </t>
  </si>
  <si>
    <t>Accumulated Amortisaton/Depreciation</t>
  </si>
  <si>
    <t>Other Intangible Assets</t>
  </si>
  <si>
    <t>`</t>
  </si>
  <si>
    <t>Capital work-in-progress</t>
  </si>
  <si>
    <t>Depreciation on PPE</t>
  </si>
  <si>
    <t>As a % of GLTA</t>
  </si>
  <si>
    <t>Depreciation on Intangible Asset</t>
  </si>
  <si>
    <t>Depreciation on Right of use Assets</t>
  </si>
  <si>
    <t>Total Depreciation</t>
  </si>
  <si>
    <t>NOTE: Used problem of selection. Since all the numbers are in a narrow range, I have taken the avg of all 5</t>
  </si>
  <si>
    <t>Maintenance Capex on PPE</t>
  </si>
  <si>
    <t>Growth Capex On PPE</t>
  </si>
  <si>
    <t>Total Capex On PPE</t>
  </si>
  <si>
    <t>Maintenance Capex on Intangible Assets</t>
  </si>
  <si>
    <t>Growth Capex On Intangible Assets</t>
  </si>
  <si>
    <t>Total Capex On Intangible Assets</t>
  </si>
  <si>
    <t>Maintenance Capex on Right of Use of Assets</t>
  </si>
  <si>
    <t>Growth Capex On Right of Use of Assets</t>
  </si>
  <si>
    <t>Total Capex On Right of use of Assets</t>
  </si>
  <si>
    <t>Total Capex</t>
  </si>
  <si>
    <t>Capex Schedule</t>
  </si>
  <si>
    <t>Debt Schedule</t>
  </si>
  <si>
    <t>Total Borrowings</t>
  </si>
  <si>
    <t>Total Lease</t>
  </si>
  <si>
    <t>Cost on Borrowings</t>
  </si>
  <si>
    <t>Cost on Lease Liabilities</t>
  </si>
  <si>
    <t>Total Finance cost</t>
  </si>
  <si>
    <t>Cost of Borrowing (%)</t>
  </si>
  <si>
    <t>Cost Of Lease (%)</t>
  </si>
  <si>
    <t>Weighted Average Cost Of Borrowing</t>
  </si>
  <si>
    <t>New Borrowing Raised</t>
  </si>
  <si>
    <t>Exsisting Borrowing Repaid</t>
  </si>
  <si>
    <t>Net Borrowing Raised</t>
  </si>
  <si>
    <t>Net Borrowing Added to Long Term Borrowings</t>
  </si>
  <si>
    <t>New Lease added</t>
  </si>
  <si>
    <t>Existing lease removed</t>
  </si>
  <si>
    <t>Net Lease added</t>
  </si>
  <si>
    <t>Net Lease added to long term lease</t>
  </si>
  <si>
    <t>Long term Borrowings (ncl)</t>
  </si>
  <si>
    <t>Short Term Borrowing (cl)</t>
  </si>
  <si>
    <t>Working Capital Schedule</t>
  </si>
  <si>
    <t xml:space="preserve">Total Current Assets (except cash &amp; equivalents) </t>
  </si>
  <si>
    <t xml:space="preserve">Current Assets (except cash &amp; equivalents) </t>
  </si>
  <si>
    <t>Net Working Capital (excluding cash)</t>
  </si>
  <si>
    <t>Change in Net Working Capital</t>
  </si>
  <si>
    <t>Current Liabilties as days of sales</t>
  </si>
  <si>
    <t>Current Assets as days of sales</t>
  </si>
  <si>
    <t>Long Term Lease (ncl)</t>
  </si>
  <si>
    <t xml:space="preserve">Short Term Lease (cl) </t>
  </si>
  <si>
    <t>From WC Schedule</t>
  </si>
  <si>
    <t>Revenue Model</t>
  </si>
  <si>
    <t>WC Schedule</t>
  </si>
  <si>
    <t xml:space="preserve">Revenue Assumptions  </t>
  </si>
  <si>
    <t xml:space="preserve">Revenue </t>
  </si>
  <si>
    <t xml:space="preserve">Other Income </t>
  </si>
  <si>
    <t>As a% of Total Revenue</t>
  </si>
  <si>
    <t xml:space="preserve">Other P&amp;L Assumptions  </t>
  </si>
  <si>
    <t>Assumptions</t>
  </si>
  <si>
    <t>As a% of Revenue</t>
  </si>
  <si>
    <t>Tax Rate</t>
  </si>
  <si>
    <t xml:space="preserve">Other Balance Sheet Assumptions  </t>
  </si>
  <si>
    <t>Other Financial Liabilities</t>
  </si>
  <si>
    <t xml:space="preserve">Profit before tax and exceptional items </t>
  </si>
  <si>
    <t>Tax Expense</t>
  </si>
  <si>
    <t xml:space="preserve">EBIT </t>
  </si>
  <si>
    <t>Net Profit</t>
  </si>
  <si>
    <t>Add Finance Costs</t>
  </si>
  <si>
    <t>Add Depreciation</t>
  </si>
  <si>
    <t>Less Change in Net Working Capital</t>
  </si>
  <si>
    <t>Cash Flow from Operating Activities</t>
  </si>
  <si>
    <t>Change in Investments</t>
  </si>
  <si>
    <t>Capital Expenditure</t>
  </si>
  <si>
    <t>Cash Flow from Investing Activities</t>
  </si>
  <si>
    <t>Changes to Equity</t>
  </si>
  <si>
    <r>
      <rPr>
        <sz val="11"/>
        <color theme="1"/>
        <rFont val="Calibri"/>
        <family val="2"/>
      </rPr>
      <t xml:space="preserve">Net Loans Raised </t>
    </r>
    <r>
      <rPr>
        <sz val="11"/>
        <color rgb="FF2F5496"/>
        <rFont val="Calibri"/>
        <family val="2"/>
      </rPr>
      <t>for the</t>
    </r>
    <r>
      <rPr>
        <b/>
        <sz val="11"/>
        <color rgb="FF2F5496"/>
        <rFont val="Calibri"/>
        <family val="2"/>
      </rPr>
      <t xml:space="preserve"> long term</t>
    </r>
  </si>
  <si>
    <t>Finance Costs Paid</t>
  </si>
  <si>
    <t>Dividend Paid</t>
  </si>
  <si>
    <t>Cash Flow from Financing Activities</t>
  </si>
  <si>
    <t>Total Cash Flow</t>
  </si>
  <si>
    <t>Beginning Cash Balance</t>
  </si>
  <si>
    <t>Closing Cash Balance in Balance Sheet</t>
  </si>
  <si>
    <t>Balancing Check</t>
  </si>
  <si>
    <t>Closing Inventory</t>
  </si>
  <si>
    <t>COGS</t>
  </si>
  <si>
    <t>Opening Inventory</t>
  </si>
  <si>
    <t>Avg Inventory</t>
  </si>
  <si>
    <t>Net inc/dec in Inventory</t>
  </si>
  <si>
    <t>Days Inventory Outstanding</t>
  </si>
  <si>
    <t xml:space="preserve">Changes in Non-Controlling Interest </t>
  </si>
  <si>
    <t>Date</t>
  </si>
  <si>
    <t>Hero MotoCorp</t>
  </si>
  <si>
    <t>Returns/Hero</t>
  </si>
  <si>
    <t>WACC</t>
  </si>
  <si>
    <t>Beta</t>
  </si>
  <si>
    <t>Risk Free Rate</t>
  </si>
  <si>
    <t>Equity Risk Premium</t>
  </si>
  <si>
    <t>Cost Of Equity</t>
  </si>
  <si>
    <t>Market Value of Equity</t>
  </si>
  <si>
    <t>Cost of Debt</t>
  </si>
  <si>
    <t>Proportion of Debt</t>
  </si>
  <si>
    <t>Proportion of Equity</t>
  </si>
  <si>
    <t>Effective Tax rate</t>
  </si>
  <si>
    <t>Terminal Growth Rate Calculation</t>
  </si>
  <si>
    <t>GDP India</t>
  </si>
  <si>
    <t xml:space="preserve">Terminal Growth Rate </t>
  </si>
  <si>
    <t>CMP</t>
  </si>
  <si>
    <t>Ke = Rf + B(ERP)</t>
  </si>
  <si>
    <t>=+cov(rs, rm)/VAR(rm)</t>
  </si>
  <si>
    <t>RBI's 10 Yr Givt Bond yield as proxy for risk free rate</t>
  </si>
  <si>
    <t>Aswath Damodaran's Website</t>
  </si>
  <si>
    <t>Enterprise Value = Equity Value + Debt Value - Cash</t>
  </si>
  <si>
    <t>NPV of Termianl Value + NPV of Explicit Cashflow = Value of firm as of today = Enterprise value</t>
  </si>
  <si>
    <t>Upside/Downside</t>
  </si>
  <si>
    <t>Value per Share (basis caluation)</t>
  </si>
  <si>
    <t>Current Market Price</t>
  </si>
  <si>
    <t>Equity Value</t>
  </si>
  <si>
    <t>Add Cash</t>
  </si>
  <si>
    <t>Less Debt</t>
  </si>
  <si>
    <t>Enterprise Value</t>
  </si>
  <si>
    <t>NPV of Terminal Value</t>
  </si>
  <si>
    <t>NPV of Explicit Cash Flows</t>
  </si>
  <si>
    <t>Terminal Value of FCFF</t>
  </si>
  <si>
    <t>Discounted FCFF</t>
  </si>
  <si>
    <t>FCFF</t>
  </si>
  <si>
    <t>Time to Cashflow in Years</t>
  </si>
  <si>
    <t>Years</t>
  </si>
  <si>
    <t>Terminal Growth Rate</t>
  </si>
  <si>
    <t>Tax Rate (Effective Future Rate)</t>
  </si>
  <si>
    <t>Date of Year Ending</t>
  </si>
  <si>
    <t>Valuation as on Specified Date</t>
  </si>
  <si>
    <t>Valuation Parameters</t>
  </si>
  <si>
    <t>FCFF Growth</t>
  </si>
  <si>
    <t>Less Capital Expenditure</t>
  </si>
  <si>
    <t>EBIT(1-t) (or NOPAT)</t>
  </si>
  <si>
    <t>EBIT</t>
  </si>
  <si>
    <t>2040E</t>
  </si>
  <si>
    <t>Free Cashflow to Firm  Calculation</t>
  </si>
  <si>
    <t>India Two Wheeler Sector Growth</t>
  </si>
  <si>
    <t xml:space="preserve">Value Of Debt </t>
  </si>
  <si>
    <t>Nifty 50</t>
  </si>
  <si>
    <t>No of Shares</t>
  </si>
  <si>
    <t>Returns/Nifty</t>
  </si>
  <si>
    <t>Slope</t>
  </si>
  <si>
    <t xml:space="preserve">No. of Shares Outstanding </t>
  </si>
  <si>
    <t>Global Motorcycle Market Growth</t>
  </si>
  <si>
    <t>India Automobile Export Growth</t>
  </si>
  <si>
    <t>P/E Based  Valuation</t>
  </si>
  <si>
    <t>Peer Set</t>
  </si>
  <si>
    <t>P/E</t>
  </si>
  <si>
    <t>Peer Average</t>
  </si>
  <si>
    <t>Target Share Price</t>
  </si>
  <si>
    <t>Model</t>
  </si>
  <si>
    <t>Price</t>
  </si>
  <si>
    <t>Weightages Assigned</t>
  </si>
  <si>
    <t>DCF suggested Price</t>
  </si>
  <si>
    <t>Relative Suggested Price</t>
  </si>
  <si>
    <t>Blended Target Price</t>
  </si>
  <si>
    <t>revenue is a flow metric</t>
  </si>
  <si>
    <t>capacity is a static metric</t>
  </si>
  <si>
    <t xml:space="preserve">NOTE: Realization Growth % for FY26 is estimated to be 5.6% as according to investor presentation &amp; annual reports, the company is focusing on premium motorcycles scaling, export expansion and EV segment. </t>
  </si>
  <si>
    <t>TVS Motors</t>
  </si>
  <si>
    <t>Bajaj Auto</t>
  </si>
  <si>
    <t>Hero MotoCorp:</t>
  </si>
  <si>
    <t>Hero MotoCorp Relative Price</t>
  </si>
  <si>
    <t>EPS NTM</t>
  </si>
  <si>
    <t xml:space="preserve"> </t>
  </si>
  <si>
    <t>Eicher Motors</t>
  </si>
  <si>
    <t>NOTE: For forecasting future values, I have made some assumptions based on my understanding of the company after reviewing its annual reports and investor presentations.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</si>
</sst>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%"/>
    <numFmt numFmtId="165" formatCode="_ &quot;₹&quot;\ * #,##0_ ;_ &quot;₹&quot;\ * \-#,##0_ ;_ &quot;₹&quot;\ * &quot;-&quot;??_ ;_ @_ "/>
    <numFmt numFmtId="166" formatCode="_ [$₹-439]* #,##0.00_ ;_ [$₹-439]* \-#,##0.00_ ;_ [$₹-439]* &quot;-&quot;??_ ;_ @_ "/>
    <numFmt numFmtId="167" formatCode="0.000000000"/>
    <numFmt numFmtId="168" formatCode="_(&quot;₹&quot;* #,##0.00_);_(&quot;₹&quot;* \(#,##0.00\);_(&quot;₹&quot;* &quot;-&quot;??_);_(@_)"/>
    <numFmt numFmtId="169" formatCode="_ &quot;₹&quot;\ * #,##0.00_ ;_ &quot;₹&quot;\ * \-#,##0.00_ ;_ &quot;₹&quot;\ * &quot;-&quot;??_ ;_ @_ "/>
    <numFmt numFmtId="170" formatCode="_(&quot;₹&quot;* #,##0_);_(&quot;₹&quot;* \(#,##0\);_(&quot;₹&quot;* &quot;-&quot;??_);_(@_)"/>
    <numFmt numFmtId="171" formatCode="0.0"/>
    <numFmt numFmtId="172" formatCode="0&quot;E&quot;"/>
    <numFmt numFmtId="173" formatCode="_ * #,##0_ ;_ * \-#,##0_ ;_ * &quot;-&quot;??_ ;_ @_ "/>
    <numFmt numFmtId="174" formatCode="_ * #,##0.00_ ;_ * \-#,##0.00_ ;_ * &quot;-&quot;??_ ;_ @_ "/>
    <numFmt numFmtId="175" formatCode="&quot;₹&quot;\ 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2F5496"/>
      <name val="Calibri"/>
      <family val="2"/>
    </font>
    <font>
      <b/>
      <sz val="11"/>
      <color rgb="FF2F5496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2"/>
        <bgColor indexed="64"/>
      </patternFill>
    </fill>
    <fill>
      <patternFill patternType="solid">
        <fgColor rgb="FFBF9000"/>
        <bgColor rgb="FFBF9000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ECECEC"/>
        <bgColor rgb="FFECECEC"/>
      </patternFill>
    </fill>
    <fill>
      <patternFill patternType="solid">
        <fgColor rgb="FFFFD965"/>
        <bgColor rgb="FFFFD965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slantDashDot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2" fillId="0" borderId="0" xfId="0" applyFont="1"/>
    <xf numFmtId="9" fontId="0" fillId="3" borderId="0" xfId="1" applyFont="1" applyFill="1"/>
    <xf numFmtId="9" fontId="0" fillId="0" borderId="0" xfId="1" applyFont="1"/>
    <xf numFmtId="0" fontId="0" fillId="0" borderId="1" xfId="0" applyBorder="1"/>
    <xf numFmtId="0" fontId="2" fillId="0" borderId="1" xfId="0" applyFont="1" applyBorder="1"/>
    <xf numFmtId="0" fontId="2" fillId="0" borderId="0" xfId="0" applyFont="1" applyAlignment="1">
      <alignment wrapText="1"/>
    </xf>
    <xf numFmtId="0" fontId="0" fillId="0" borderId="2" xfId="0" applyBorder="1"/>
    <xf numFmtId="0" fontId="2" fillId="0" borderId="3" xfId="0" applyFont="1" applyBorder="1"/>
    <xf numFmtId="0" fontId="0" fillId="0" borderId="4" xfId="0" applyBorder="1"/>
    <xf numFmtId="0" fontId="0" fillId="0" borderId="0" xfId="0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0" fillId="0" borderId="7" xfId="0" applyBorder="1"/>
    <xf numFmtId="164" fontId="0" fillId="0" borderId="0" xfId="1" applyNumberFormat="1" applyFont="1"/>
    <xf numFmtId="164" fontId="0" fillId="0" borderId="0" xfId="0" applyNumberFormat="1"/>
    <xf numFmtId="9" fontId="0" fillId="0" borderId="0" xfId="0" applyNumberFormat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0" fillId="0" borderId="0" xfId="0" applyAlignment="1">
      <alignment vertical="top"/>
    </xf>
    <xf numFmtId="0" fontId="0" fillId="5" borderId="0" xfId="0" applyFill="1" applyAlignment="1">
      <alignment horizontal="left"/>
    </xf>
    <xf numFmtId="0" fontId="2" fillId="0" borderId="0" xfId="0" applyFont="1" applyAlignment="1">
      <alignment vertical="top"/>
    </xf>
    <xf numFmtId="0" fontId="0" fillId="0" borderId="0" xfId="0" applyAlignment="1">
      <alignment horizontal="left" indent="2"/>
    </xf>
    <xf numFmtId="0" fontId="0" fillId="0" borderId="0" xfId="0" applyAlignment="1">
      <alignment horizont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2" borderId="0" xfId="0" applyFill="1"/>
    <xf numFmtId="0" fontId="0" fillId="9" borderId="0" xfId="0" applyFill="1"/>
    <xf numFmtId="0" fontId="0" fillId="10" borderId="0" xfId="0" applyFill="1" applyAlignment="1">
      <alignment wrapText="1"/>
    </xf>
    <xf numFmtId="0" fontId="0" fillId="10" borderId="0" xfId="0" applyFill="1"/>
    <xf numFmtId="165" fontId="8" fillId="0" borderId="8" xfId="0" applyNumberFormat="1" applyFont="1" applyBorder="1" applyAlignment="1">
      <alignment horizontal="left" vertical="center"/>
    </xf>
    <xf numFmtId="165" fontId="9" fillId="0" borderId="8" xfId="0" applyNumberFormat="1" applyFont="1" applyBorder="1" applyAlignment="1">
      <alignment horizontal="left" vertical="center"/>
    </xf>
    <xf numFmtId="165" fontId="8" fillId="11" borderId="8" xfId="0" applyNumberFormat="1" applyFont="1" applyFill="1" applyBorder="1" applyAlignment="1">
      <alignment horizontal="left" vertical="center"/>
    </xf>
    <xf numFmtId="0" fontId="8" fillId="11" borderId="9" xfId="0" applyFont="1" applyFill="1" applyBorder="1" applyAlignment="1">
      <alignment vertical="center"/>
    </xf>
    <xf numFmtId="1" fontId="0" fillId="0" borderId="0" xfId="0" applyNumberFormat="1"/>
    <xf numFmtId="0" fontId="0" fillId="4" borderId="11" xfId="0" applyFill="1" applyBorder="1"/>
    <xf numFmtId="0" fontId="0" fillId="0" borderId="10" xfId="0" applyBorder="1"/>
    <xf numFmtId="9" fontId="0" fillId="0" borderId="10" xfId="1" applyFont="1" applyBorder="1"/>
    <xf numFmtId="166" fontId="0" fillId="0" borderId="0" xfId="0" applyNumberFormat="1"/>
    <xf numFmtId="166" fontId="0" fillId="0" borderId="10" xfId="0" applyNumberFormat="1" applyBorder="1"/>
    <xf numFmtId="166" fontId="2" fillId="0" borderId="0" xfId="0" applyNumberFormat="1" applyFont="1"/>
    <xf numFmtId="166" fontId="2" fillId="0" borderId="10" xfId="0" applyNumberFormat="1" applyFont="1" applyBorder="1"/>
    <xf numFmtId="166" fontId="0" fillId="3" borderId="0" xfId="0" applyNumberFormat="1" applyFill="1"/>
    <xf numFmtId="166" fontId="0" fillId="3" borderId="10" xfId="0" applyNumberFormat="1" applyFill="1" applyBorder="1"/>
    <xf numFmtId="166" fontId="0" fillId="0" borderId="0" xfId="0" applyNumberFormat="1" applyAlignment="1">
      <alignment horizontal="right"/>
    </xf>
    <xf numFmtId="166" fontId="0" fillId="0" borderId="10" xfId="0" applyNumberFormat="1" applyBorder="1" applyAlignment="1">
      <alignment horizontal="right"/>
    </xf>
    <xf numFmtId="166" fontId="0" fillId="9" borderId="0" xfId="0" applyNumberFormat="1" applyFill="1"/>
    <xf numFmtId="166" fontId="0" fillId="12" borderId="0" xfId="0" applyNumberFormat="1" applyFill="1"/>
    <xf numFmtId="166" fontId="0" fillId="4" borderId="1" xfId="0" applyNumberFormat="1" applyFill="1" applyBorder="1"/>
    <xf numFmtId="166" fontId="0" fillId="4" borderId="11" xfId="0" applyNumberFormat="1" applyFill="1" applyBorder="1"/>
    <xf numFmtId="10" fontId="0" fillId="0" borderId="0" xfId="1" applyNumberFormat="1" applyFont="1"/>
    <xf numFmtId="166" fontId="6" fillId="0" borderId="0" xfId="0" applyNumberFormat="1" applyFont="1" applyAlignment="1">
      <alignment horizontal="right" shrinkToFit="1"/>
    </xf>
    <xf numFmtId="166" fontId="2" fillId="2" borderId="0" xfId="0" applyNumberFormat="1" applyFont="1" applyFill="1"/>
    <xf numFmtId="166" fontId="5" fillId="0" borderId="0" xfId="0" applyNumberFormat="1" applyFont="1" applyAlignment="1">
      <alignment horizontal="right" shrinkToFit="1"/>
    </xf>
    <xf numFmtId="166" fontId="2" fillId="2" borderId="4" xfId="0" applyNumberFormat="1" applyFont="1" applyFill="1" applyBorder="1"/>
    <xf numFmtId="166" fontId="2" fillId="2" borderId="5" xfId="0" applyNumberFormat="1" applyFont="1" applyFill="1" applyBorder="1"/>
    <xf numFmtId="166" fontId="0" fillId="0" borderId="1" xfId="0" applyNumberFormat="1" applyBorder="1"/>
    <xf numFmtId="166" fontId="0" fillId="0" borderId="2" xfId="0" applyNumberFormat="1" applyBorder="1"/>
    <xf numFmtId="166" fontId="2" fillId="0" borderId="0" xfId="0" applyNumberFormat="1" applyFont="1" applyAlignment="1">
      <alignment horizontal="center"/>
    </xf>
    <xf numFmtId="9" fontId="7" fillId="0" borderId="0" xfId="1" applyFont="1" applyAlignment="1">
      <alignment horizontal="right" shrinkToFit="1"/>
    </xf>
    <xf numFmtId="9" fontId="7" fillId="3" borderId="0" xfId="1" applyFont="1" applyFill="1" applyAlignment="1">
      <alignment horizontal="right" shrinkToFit="1"/>
    </xf>
    <xf numFmtId="9" fontId="4" fillId="0" borderId="0" xfId="1" applyFont="1" applyAlignment="1">
      <alignment horizontal="right"/>
    </xf>
    <xf numFmtId="9" fontId="4" fillId="0" borderId="0" xfId="1" applyFont="1"/>
    <xf numFmtId="9" fontId="4" fillId="3" borderId="0" xfId="1" applyFont="1" applyFill="1"/>
    <xf numFmtId="9" fontId="0" fillId="0" borderId="0" xfId="1" applyFont="1" applyAlignment="1">
      <alignment horizontal="right"/>
    </xf>
    <xf numFmtId="9" fontId="2" fillId="0" borderId="0" xfId="1" applyFont="1"/>
    <xf numFmtId="9" fontId="2" fillId="2" borderId="0" xfId="1" applyFont="1" applyFill="1"/>
    <xf numFmtId="9" fontId="3" fillId="0" borderId="0" xfId="1" applyFont="1" applyAlignment="1">
      <alignment horizontal="right"/>
    </xf>
    <xf numFmtId="9" fontId="2" fillId="0" borderId="0" xfId="1" applyFont="1" applyAlignment="1">
      <alignment horizontal="center"/>
    </xf>
    <xf numFmtId="9" fontId="2" fillId="0" borderId="0" xfId="1" applyFont="1" applyAlignment="1">
      <alignment horizontal="right"/>
    </xf>
    <xf numFmtId="0" fontId="0" fillId="4" borderId="13" xfId="0" applyFill="1" applyBorder="1"/>
    <xf numFmtId="166" fontId="0" fillId="0" borderId="12" xfId="0" applyNumberFormat="1" applyBorder="1"/>
    <xf numFmtId="0" fontId="0" fillId="0" borderId="12" xfId="0" applyBorder="1"/>
    <xf numFmtId="166" fontId="2" fillId="0" borderId="12" xfId="0" applyNumberFormat="1" applyFont="1" applyBorder="1"/>
    <xf numFmtId="166" fontId="0" fillId="3" borderId="12" xfId="0" applyNumberFormat="1" applyFill="1" applyBorder="1"/>
    <xf numFmtId="164" fontId="2" fillId="0" borderId="0" xfId="1" applyNumberFormat="1" applyFont="1"/>
    <xf numFmtId="0" fontId="8" fillId="0" borderId="16" xfId="0" applyFont="1" applyBorder="1"/>
    <xf numFmtId="0" fontId="8" fillId="0" borderId="18" xfId="0" applyFont="1" applyBorder="1"/>
    <xf numFmtId="10" fontId="9" fillId="0" borderId="17" xfId="0" applyNumberFormat="1" applyFont="1" applyBorder="1"/>
    <xf numFmtId="9" fontId="9" fillId="0" borderId="17" xfId="0" applyNumberFormat="1" applyFont="1" applyBorder="1"/>
    <xf numFmtId="0" fontId="8" fillId="14" borderId="18" xfId="0" applyFont="1" applyFill="1" applyBorder="1"/>
    <xf numFmtId="10" fontId="8" fillId="14" borderId="17" xfId="0" applyNumberFormat="1" applyFont="1" applyFill="1" applyBorder="1"/>
    <xf numFmtId="0" fontId="9" fillId="0" borderId="18" xfId="0" applyFont="1" applyBorder="1"/>
    <xf numFmtId="0" fontId="9" fillId="0" borderId="17" xfId="0" applyFont="1" applyBorder="1"/>
    <xf numFmtId="0" fontId="9" fillId="15" borderId="18" xfId="0" applyFont="1" applyFill="1" applyBorder="1" applyAlignment="1">
      <alignment vertical="center"/>
    </xf>
    <xf numFmtId="165" fontId="9" fillId="0" borderId="17" xfId="0" applyNumberFormat="1" applyFont="1" applyBorder="1"/>
    <xf numFmtId="0" fontId="8" fillId="16" borderId="18" xfId="0" applyFont="1" applyFill="1" applyBorder="1" applyAlignment="1">
      <alignment vertical="center"/>
    </xf>
    <xf numFmtId="164" fontId="8" fillId="16" borderId="17" xfId="0" applyNumberFormat="1" applyFont="1" applyFill="1" applyBorder="1" applyAlignment="1">
      <alignment vertical="center"/>
    </xf>
    <xf numFmtId="10" fontId="8" fillId="16" borderId="17" xfId="0" applyNumberFormat="1" applyFont="1" applyFill="1" applyBorder="1" applyAlignment="1">
      <alignment vertical="center"/>
    </xf>
    <xf numFmtId="0" fontId="8" fillId="15" borderId="18" xfId="0" applyFont="1" applyFill="1" applyBorder="1" applyAlignment="1">
      <alignment vertical="center"/>
    </xf>
    <xf numFmtId="0" fontId="8" fillId="15" borderId="19" xfId="0" applyFont="1" applyFill="1" applyBorder="1" applyAlignment="1">
      <alignment vertical="center"/>
    </xf>
    <xf numFmtId="10" fontId="9" fillId="0" borderId="20" xfId="0" applyNumberFormat="1" applyFont="1" applyBorder="1"/>
    <xf numFmtId="0" fontId="8" fillId="16" borderId="21" xfId="0" applyFont="1" applyFill="1" applyBorder="1" applyAlignment="1">
      <alignment vertical="center"/>
    </xf>
    <xf numFmtId="10" fontId="8" fillId="16" borderId="22" xfId="0" applyNumberFormat="1" applyFont="1" applyFill="1" applyBorder="1" applyAlignment="1">
      <alignment vertical="center"/>
    </xf>
    <xf numFmtId="164" fontId="9" fillId="0" borderId="24" xfId="0" applyNumberFormat="1" applyFont="1" applyBorder="1"/>
    <xf numFmtId="164" fontId="9" fillId="0" borderId="25" xfId="0" applyNumberFormat="1" applyFont="1" applyBorder="1"/>
    <xf numFmtId="0" fontId="9" fillId="0" borderId="21" xfId="0" applyFont="1" applyBorder="1"/>
    <xf numFmtId="164" fontId="9" fillId="0" borderId="26" xfId="0" applyNumberFormat="1" applyFont="1" applyBorder="1"/>
    <xf numFmtId="164" fontId="8" fillId="14" borderId="15" xfId="0" applyNumberFormat="1" applyFont="1" applyFill="1" applyBorder="1"/>
    <xf numFmtId="0" fontId="8" fillId="0" borderId="27" xfId="0" applyFont="1" applyBorder="1"/>
    <xf numFmtId="165" fontId="9" fillId="0" borderId="28" xfId="0" applyNumberFormat="1" applyFont="1" applyBorder="1"/>
    <xf numFmtId="0" fontId="8" fillId="0" borderId="9" xfId="0" applyFont="1" applyBorder="1"/>
    <xf numFmtId="10" fontId="9" fillId="0" borderId="17" xfId="1" applyNumberFormat="1" applyFont="1" applyBorder="1"/>
    <xf numFmtId="167" fontId="9" fillId="0" borderId="17" xfId="1" applyNumberFormat="1" applyFont="1" applyBorder="1"/>
    <xf numFmtId="10" fontId="9" fillId="0" borderId="0" xfId="0" applyNumberFormat="1" applyFont="1"/>
    <xf numFmtId="9" fontId="9" fillId="0" borderId="0" xfId="0" applyNumberFormat="1" applyFont="1"/>
    <xf numFmtId="165" fontId="9" fillId="0" borderId="0" xfId="0" applyNumberFormat="1" applyFont="1"/>
    <xf numFmtId="0" fontId="1" fillId="0" borderId="0" xfId="0" applyFont="1"/>
    <xf numFmtId="0" fontId="9" fillId="0" borderId="0" xfId="0" quotePrefix="1" applyFont="1"/>
    <xf numFmtId="9" fontId="9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165" fontId="9" fillId="0" borderId="0" xfId="0" applyNumberFormat="1" applyFont="1" applyAlignment="1">
      <alignment vertical="center"/>
    </xf>
    <xf numFmtId="10" fontId="9" fillId="0" borderId="0" xfId="0" applyNumberFormat="1" applyFont="1" applyAlignment="1">
      <alignment vertical="center"/>
    </xf>
    <xf numFmtId="164" fontId="8" fillId="16" borderId="0" xfId="0" applyNumberFormat="1" applyFont="1" applyFill="1" applyAlignment="1">
      <alignment vertical="center"/>
    </xf>
    <xf numFmtId="0" fontId="8" fillId="16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165" fontId="8" fillId="16" borderId="0" xfId="0" applyNumberFormat="1" applyFont="1" applyFill="1" applyAlignment="1">
      <alignment vertical="center"/>
    </xf>
    <xf numFmtId="168" fontId="8" fillId="16" borderId="0" xfId="0" applyNumberFormat="1" applyFont="1" applyFill="1" applyAlignment="1">
      <alignment horizontal="left" vertical="center"/>
    </xf>
    <xf numFmtId="165" fontId="9" fillId="0" borderId="22" xfId="0" applyNumberFormat="1" applyFont="1" applyBorder="1" applyAlignment="1">
      <alignment vertical="center"/>
    </xf>
    <xf numFmtId="165" fontId="9" fillId="0" borderId="29" xfId="0" applyNumberFormat="1" applyFont="1" applyBorder="1" applyAlignment="1">
      <alignment vertical="center"/>
    </xf>
    <xf numFmtId="165" fontId="9" fillId="0" borderId="21" xfId="0" applyNumberFormat="1" applyFont="1" applyBorder="1" applyAlignment="1">
      <alignment vertical="center"/>
    </xf>
    <xf numFmtId="164" fontId="9" fillId="0" borderId="21" xfId="0" applyNumberFormat="1" applyFont="1" applyBorder="1" applyAlignment="1">
      <alignment horizontal="center" vertical="center"/>
    </xf>
    <xf numFmtId="168" fontId="9" fillId="0" borderId="0" xfId="0" applyNumberFormat="1" applyFont="1" applyAlignment="1">
      <alignment vertical="center"/>
    </xf>
    <xf numFmtId="165" fontId="9" fillId="0" borderId="0" xfId="0" applyNumberFormat="1" applyFont="1" applyAlignment="1">
      <alignment horizontal="left" vertical="center"/>
    </xf>
    <xf numFmtId="165" fontId="9" fillId="0" borderId="17" xfId="0" applyNumberFormat="1" applyFont="1" applyBorder="1" applyAlignment="1">
      <alignment vertical="center"/>
    </xf>
    <xf numFmtId="165" fontId="9" fillId="0" borderId="18" xfId="0" applyNumberFormat="1" applyFont="1" applyBorder="1" applyAlignment="1">
      <alignment vertical="center"/>
    </xf>
    <xf numFmtId="164" fontId="9" fillId="0" borderId="18" xfId="0" applyNumberFormat="1" applyFont="1" applyBorder="1" applyAlignment="1">
      <alignment horizontal="center" vertical="center"/>
    </xf>
    <xf numFmtId="165" fontId="9" fillId="16" borderId="0" xfId="0" applyNumberFormat="1" applyFont="1" applyFill="1" applyAlignment="1">
      <alignment vertical="center"/>
    </xf>
    <xf numFmtId="168" fontId="9" fillId="16" borderId="0" xfId="0" applyNumberFormat="1" applyFont="1" applyFill="1" applyAlignment="1">
      <alignment horizontal="left" vertical="center"/>
    </xf>
    <xf numFmtId="165" fontId="8" fillId="14" borderId="0" xfId="0" applyNumberFormat="1" applyFont="1" applyFill="1" applyAlignment="1">
      <alignment vertical="center"/>
    </xf>
    <xf numFmtId="1" fontId="9" fillId="0" borderId="0" xfId="0" applyNumberFormat="1" applyFont="1" applyAlignment="1">
      <alignment vertical="center"/>
    </xf>
    <xf numFmtId="169" fontId="9" fillId="0" borderId="0" xfId="0" applyNumberFormat="1" applyFont="1" applyAlignment="1">
      <alignment vertical="center"/>
    </xf>
    <xf numFmtId="165" fontId="9" fillId="0" borderId="28" xfId="0" applyNumberFormat="1" applyFont="1" applyBorder="1" applyAlignment="1">
      <alignment vertical="center"/>
    </xf>
    <xf numFmtId="165" fontId="9" fillId="0" borderId="30" xfId="0" applyNumberFormat="1" applyFont="1" applyBorder="1" applyAlignment="1">
      <alignment vertical="center"/>
    </xf>
    <xf numFmtId="165" fontId="9" fillId="0" borderId="16" xfId="0" applyNumberFormat="1" applyFont="1" applyBorder="1" applyAlignment="1">
      <alignment vertical="center"/>
    </xf>
    <xf numFmtId="164" fontId="9" fillId="0" borderId="0" xfId="0" applyNumberFormat="1" applyFont="1"/>
    <xf numFmtId="164" fontId="9" fillId="0" borderId="28" xfId="0" applyNumberFormat="1" applyFont="1" applyBorder="1" applyAlignment="1">
      <alignment vertical="center"/>
    </xf>
    <xf numFmtId="164" fontId="9" fillId="0" borderId="30" xfId="0" applyNumberFormat="1" applyFont="1" applyBorder="1" applyAlignment="1">
      <alignment vertical="center"/>
    </xf>
    <xf numFmtId="10" fontId="9" fillId="15" borderId="30" xfId="0" applyNumberFormat="1" applyFont="1" applyFill="1" applyBorder="1" applyAlignment="1">
      <alignment vertical="center"/>
    </xf>
    <xf numFmtId="165" fontId="9" fillId="14" borderId="16" xfId="0" applyNumberFormat="1" applyFont="1" applyFill="1" applyBorder="1" applyAlignment="1">
      <alignment horizontal="left" vertical="center"/>
    </xf>
    <xf numFmtId="170" fontId="9" fillId="0" borderId="0" xfId="0" applyNumberFormat="1" applyFont="1" applyAlignment="1">
      <alignment horizontal="left" vertical="center"/>
    </xf>
    <xf numFmtId="0" fontId="9" fillId="13" borderId="0" xfId="0" applyFont="1" applyFill="1"/>
    <xf numFmtId="165" fontId="9" fillId="13" borderId="0" xfId="0" applyNumberFormat="1" applyFont="1" applyFill="1" applyAlignment="1">
      <alignment vertical="center"/>
    </xf>
    <xf numFmtId="169" fontId="9" fillId="0" borderId="0" xfId="0" applyNumberFormat="1" applyFont="1"/>
    <xf numFmtId="168" fontId="9" fillId="0" borderId="0" xfId="0" applyNumberFormat="1" applyFont="1" applyAlignment="1">
      <alignment horizontal="left" vertical="center"/>
    </xf>
    <xf numFmtId="168" fontId="9" fillId="16" borderId="0" xfId="0" applyNumberFormat="1" applyFont="1" applyFill="1" applyAlignment="1">
      <alignment vertical="center"/>
    </xf>
    <xf numFmtId="171" fontId="9" fillId="0" borderId="0" xfId="0" applyNumberFormat="1" applyFont="1" applyAlignment="1">
      <alignment vertical="center"/>
    </xf>
    <xf numFmtId="172" fontId="13" fillId="13" borderId="0" xfId="0" applyNumberFormat="1" applyFont="1" applyFill="1" applyAlignment="1">
      <alignment horizontal="center" vertical="center"/>
    </xf>
    <xf numFmtId="168" fontId="13" fillId="13" borderId="0" xfId="0" applyNumberFormat="1" applyFont="1" applyFill="1" applyAlignment="1">
      <alignment vertical="center"/>
    </xf>
    <xf numFmtId="14" fontId="9" fillId="0" borderId="0" xfId="0" applyNumberFormat="1" applyFont="1" applyAlignment="1">
      <alignment vertical="center"/>
    </xf>
    <xf numFmtId="3" fontId="9" fillId="0" borderId="0" xfId="0" applyNumberFormat="1" applyFont="1"/>
    <xf numFmtId="164" fontId="9" fillId="14" borderId="0" xfId="0" applyNumberFormat="1" applyFont="1" applyFill="1" applyAlignment="1">
      <alignment vertical="center"/>
    </xf>
    <xf numFmtId="168" fontId="9" fillId="14" borderId="0" xfId="0" applyNumberFormat="1" applyFont="1" applyFill="1" applyAlignment="1">
      <alignment vertical="center"/>
    </xf>
    <xf numFmtId="10" fontId="9" fillId="17" borderId="0" xfId="0" applyNumberFormat="1" applyFont="1" applyFill="1" applyAlignment="1">
      <alignment vertical="center"/>
    </xf>
    <xf numFmtId="14" fontId="9" fillId="14" borderId="0" xfId="0" applyNumberFormat="1" applyFont="1" applyFill="1" applyAlignment="1">
      <alignment vertical="center"/>
    </xf>
    <xf numFmtId="173" fontId="9" fillId="0" borderId="0" xfId="0" applyNumberFormat="1" applyFont="1" applyAlignment="1">
      <alignment vertical="center"/>
    </xf>
    <xf numFmtId="164" fontId="9" fillId="14" borderId="0" xfId="0" applyNumberFormat="1" applyFont="1" applyFill="1"/>
    <xf numFmtId="165" fontId="9" fillId="14" borderId="0" xfId="0" applyNumberFormat="1" applyFont="1" applyFill="1"/>
    <xf numFmtId="165" fontId="9" fillId="14" borderId="0" xfId="0" applyNumberFormat="1" applyFont="1" applyFill="1" applyAlignment="1">
      <alignment vertical="center"/>
    </xf>
    <xf numFmtId="0" fontId="9" fillId="14" borderId="0" xfId="0" applyFont="1" applyFill="1"/>
    <xf numFmtId="10" fontId="9" fillId="18" borderId="0" xfId="0" applyNumberFormat="1" applyFont="1" applyFill="1"/>
    <xf numFmtId="10" fontId="0" fillId="0" borderId="0" xfId="0" applyNumberFormat="1"/>
    <xf numFmtId="10" fontId="9" fillId="14" borderId="0" xfId="0" applyNumberFormat="1" applyFont="1" applyFill="1" applyAlignment="1">
      <alignment vertical="center"/>
    </xf>
    <xf numFmtId="0" fontId="13" fillId="13" borderId="14" xfId="0" applyFont="1" applyFill="1" applyBorder="1" applyAlignment="1">
      <alignment horizontal="center"/>
    </xf>
    <xf numFmtId="0" fontId="14" fillId="0" borderId="15" xfId="0" applyFont="1" applyBorder="1"/>
    <xf numFmtId="0" fontId="14" fillId="0" borderId="23" xfId="0" applyFont="1" applyBorder="1"/>
    <xf numFmtId="0" fontId="8" fillId="14" borderId="14" xfId="0" applyFont="1" applyFill="1" applyBorder="1" applyAlignment="1">
      <alignment horizontal="center"/>
    </xf>
    <xf numFmtId="166" fontId="15" fillId="0" borderId="31" xfId="0" applyNumberFormat="1" applyFont="1" applyBorder="1" applyAlignment="1">
      <alignment horizontal="right" wrapText="1"/>
    </xf>
    <xf numFmtId="2" fontId="0" fillId="0" borderId="0" xfId="1" applyNumberFormat="1" applyFont="1"/>
    <xf numFmtId="2" fontId="9" fillId="0" borderId="22" xfId="0" applyNumberFormat="1" applyFont="1" applyBorder="1"/>
    <xf numFmtId="2" fontId="9" fillId="16" borderId="0" xfId="0" applyNumberFormat="1" applyFont="1" applyFill="1" applyAlignment="1">
      <alignment vertical="center"/>
    </xf>
    <xf numFmtId="9" fontId="9" fillId="0" borderId="33" xfId="0" applyNumberFormat="1" applyFont="1" applyBorder="1"/>
    <xf numFmtId="9" fontId="0" fillId="0" borderId="32" xfId="0" applyNumberFormat="1" applyBorder="1"/>
    <xf numFmtId="164" fontId="0" fillId="0" borderId="25" xfId="0" applyNumberFormat="1" applyBorder="1"/>
    <xf numFmtId="0" fontId="8" fillId="0" borderId="3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9" fillId="16" borderId="8" xfId="0" applyFont="1" applyFill="1" applyBorder="1" applyAlignment="1">
      <alignment horizontal="center"/>
    </xf>
    <xf numFmtId="0" fontId="9" fillId="16" borderId="17" xfId="0" applyFont="1" applyFill="1" applyBorder="1" applyAlignment="1">
      <alignment horizontal="center"/>
    </xf>
    <xf numFmtId="0" fontId="15" fillId="0" borderId="18" xfId="0" applyFont="1" applyBorder="1" applyAlignment="1">
      <alignment horizontal="left"/>
    </xf>
    <xf numFmtId="2" fontId="15" fillId="0" borderId="17" xfId="0" applyNumberFormat="1" applyFont="1" applyBorder="1" applyAlignment="1">
      <alignment horizontal="right"/>
    </xf>
    <xf numFmtId="0" fontId="8" fillId="19" borderId="18" xfId="0" applyFont="1" applyFill="1" applyBorder="1" applyAlignment="1">
      <alignment horizontal="center"/>
    </xf>
    <xf numFmtId="2" fontId="8" fillId="19" borderId="17" xfId="0" applyNumberFormat="1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174" fontId="9" fillId="0" borderId="17" xfId="0" applyNumberFormat="1" applyFont="1" applyBorder="1" applyAlignment="1">
      <alignment horizontal="center"/>
    </xf>
    <xf numFmtId="165" fontId="9" fillId="0" borderId="22" xfId="0" applyNumberFormat="1" applyFont="1" applyBorder="1"/>
    <xf numFmtId="0" fontId="13" fillId="13" borderId="27" xfId="0" applyFont="1" applyFill="1" applyBorder="1"/>
    <xf numFmtId="0" fontId="13" fillId="13" borderId="27" xfId="0" applyFont="1" applyFill="1" applyBorder="1" applyAlignment="1">
      <alignment horizontal="center"/>
    </xf>
    <xf numFmtId="0" fontId="13" fillId="13" borderId="30" xfId="0" applyFont="1" applyFill="1" applyBorder="1" applyAlignment="1">
      <alignment horizontal="center"/>
    </xf>
    <xf numFmtId="0" fontId="8" fillId="0" borderId="8" xfId="0" applyFont="1" applyBorder="1"/>
    <xf numFmtId="165" fontId="9" fillId="0" borderId="8" xfId="0" applyNumberFormat="1" applyFont="1" applyBorder="1" applyAlignment="1">
      <alignment horizontal="center"/>
    </xf>
    <xf numFmtId="9" fontId="9" fillId="0" borderId="17" xfId="0" applyNumberFormat="1" applyFont="1" applyBorder="1" applyAlignment="1">
      <alignment horizontal="center"/>
    </xf>
    <xf numFmtId="165" fontId="9" fillId="0" borderId="9" xfId="0" applyNumberFormat="1" applyFont="1" applyBorder="1" applyAlignment="1">
      <alignment horizontal="center"/>
    </xf>
    <xf numFmtId="9" fontId="9" fillId="0" borderId="22" xfId="0" applyNumberFormat="1" applyFont="1" applyBorder="1" applyAlignment="1">
      <alignment horizontal="center"/>
    </xf>
    <xf numFmtId="0" fontId="8" fillId="18" borderId="34" xfId="0" applyFont="1" applyFill="1" applyBorder="1"/>
    <xf numFmtId="2" fontId="2" fillId="0" borderId="0" xfId="0" applyNumberFormat="1" applyFont="1"/>
    <xf numFmtId="2" fontId="2" fillId="2" borderId="0" xfId="0" applyNumberFormat="1" applyFont="1" applyFill="1"/>
    <xf numFmtId="164" fontId="4" fillId="0" borderId="0" xfId="1" applyNumberFormat="1" applyFont="1"/>
    <xf numFmtId="164" fontId="4" fillId="3" borderId="0" xfId="1" applyNumberFormat="1" applyFont="1" applyFill="1"/>
    <xf numFmtId="164" fontId="3" fillId="0" borderId="0" xfId="1" applyNumberFormat="1" applyFont="1"/>
    <xf numFmtId="164" fontId="3" fillId="3" borderId="0" xfId="1" applyNumberFormat="1" applyFont="1" applyFill="1"/>
    <xf numFmtId="164" fontId="0" fillId="3" borderId="0" xfId="1" applyNumberFormat="1" applyFont="1" applyFill="1"/>
    <xf numFmtId="0" fontId="9" fillId="0" borderId="9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168" fontId="13" fillId="13" borderId="0" xfId="0" applyNumberFormat="1" applyFont="1" applyFill="1" applyAlignment="1">
      <alignment horizontal="center" vertical="center"/>
    </xf>
    <xf numFmtId="0" fontId="14" fillId="0" borderId="0" xfId="0" applyFont="1"/>
    <xf numFmtId="0" fontId="13" fillId="13" borderId="16" xfId="0" applyFont="1" applyFill="1" applyBorder="1" applyAlignment="1">
      <alignment horizontal="center"/>
    </xf>
    <xf numFmtId="0" fontId="14" fillId="0" borderId="28" xfId="0" applyFont="1" applyBorder="1"/>
    <xf numFmtId="0" fontId="13" fillId="13" borderId="18" xfId="0" applyFont="1" applyFill="1" applyBorder="1" applyAlignment="1">
      <alignment horizontal="center"/>
    </xf>
    <xf numFmtId="0" fontId="14" fillId="0" borderId="17" xfId="0" applyFont="1" applyBorder="1"/>
    <xf numFmtId="0" fontId="13" fillId="13" borderId="35" xfId="0" applyFont="1" applyFill="1" applyBorder="1" applyAlignment="1">
      <alignment horizontal="center"/>
    </xf>
    <xf numFmtId="0" fontId="14" fillId="0" borderId="36" xfId="0" applyFont="1" applyBorder="1"/>
    <xf numFmtId="175" fontId="8" fillId="18" borderId="23" xfId="0" applyNumberFormat="1" applyFont="1" applyFill="1" applyBorder="1" applyAlignment="1">
      <alignment horizontal="center"/>
    </xf>
    <xf numFmtId="0" fontId="14" fillId="0" borderId="15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561975</xdr:colOff>
      <xdr:row>25</xdr:row>
      <xdr:rowOff>171450</xdr:rowOff>
    </xdr:from>
    <xdr:ext cx="285750" cy="12858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A26577A5-30A3-47B2-8D61-B9795374909E}"/>
            </a:ext>
          </a:extLst>
        </xdr:cNvPr>
        <xdr:cNvSpPr txBox="1"/>
      </xdr:nvSpPr>
      <xdr:spPr>
        <a:xfrm rot="-5400000">
          <a:off x="8139112" y="5275263"/>
          <a:ext cx="1285875" cy="285750"/>
        </a:xfrm>
        <a:prstGeom prst="rect">
          <a:avLst/>
        </a:prstGeom>
        <a:solidFill>
          <a:srgbClr val="BF90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Terminal Growth Rate</a:t>
          </a:r>
          <a:endParaRPr sz="900" b="1"/>
        </a:p>
      </xdr:txBody>
    </xdr:sp>
    <xdr:clientData fLocksWithSheet="0"/>
  </xdr:oneCellAnchor>
  <xdr:oneCellAnchor>
    <xdr:from>
      <xdr:col>11</xdr:col>
      <xdr:colOff>628650</xdr:colOff>
      <xdr:row>24</xdr:row>
      <xdr:rowOff>152400</xdr:rowOff>
    </xdr:from>
    <xdr:ext cx="1076325" cy="2476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2AFB6594-37A2-4A44-A528-D270284C081C}"/>
            </a:ext>
          </a:extLst>
        </xdr:cNvPr>
        <xdr:cNvSpPr txBox="1"/>
      </xdr:nvSpPr>
      <xdr:spPr>
        <a:xfrm>
          <a:off x="11734800" y="4572000"/>
          <a:ext cx="1076325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WACC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F4AF5-9314-4A29-BA7D-4EC0B6E4E616}">
  <dimension ref="A2:N62"/>
  <sheetViews>
    <sheetView showGridLines="0" workbookViewId="0">
      <pane ySplit="2" topLeftCell="A3" activePane="bottomLeft" state="frozen"/>
      <selection pane="bottomLeft" activeCell="M62" sqref="M62"/>
    </sheetView>
  </sheetViews>
  <sheetFormatPr defaultRowHeight="14.5" x14ac:dyDescent="0.35"/>
  <cols>
    <col min="1" max="1" width="13.90625" bestFit="1" customWidth="1"/>
    <col min="2" max="2" width="33.54296875" bestFit="1" customWidth="1"/>
    <col min="5" max="14" width="12.90625" bestFit="1" customWidth="1"/>
  </cols>
  <sheetData>
    <row r="2" spans="1:14" x14ac:dyDescent="0.35">
      <c r="B2" s="22" t="s">
        <v>46</v>
      </c>
      <c r="C2" s="19" t="s">
        <v>50</v>
      </c>
      <c r="D2" s="19"/>
      <c r="E2" s="75" t="s">
        <v>45</v>
      </c>
      <c r="F2" s="19" t="s">
        <v>44</v>
      </c>
      <c r="G2" s="19" t="s">
        <v>43</v>
      </c>
      <c r="H2" s="19" t="s">
        <v>42</v>
      </c>
      <c r="I2" s="40" t="s">
        <v>41</v>
      </c>
      <c r="J2" s="19" t="s">
        <v>40</v>
      </c>
      <c r="K2" s="19" t="s">
        <v>39</v>
      </c>
      <c r="L2" s="19" t="s">
        <v>38</v>
      </c>
      <c r="M2" s="19" t="s">
        <v>37</v>
      </c>
      <c r="N2" s="19" t="s">
        <v>36</v>
      </c>
    </row>
    <row r="3" spans="1:14" x14ac:dyDescent="0.35">
      <c r="E3" s="77"/>
      <c r="I3" s="41"/>
    </row>
    <row r="4" spans="1:14" x14ac:dyDescent="0.35">
      <c r="B4" s="3" t="s">
        <v>53</v>
      </c>
      <c r="E4" s="77"/>
      <c r="I4" s="41"/>
    </row>
    <row r="5" spans="1:14" x14ac:dyDescent="0.35">
      <c r="A5" s="29" t="s">
        <v>143</v>
      </c>
      <c r="B5" t="s">
        <v>54</v>
      </c>
      <c r="E5" s="76">
        <v>5550.67</v>
      </c>
      <c r="F5" s="43">
        <v>5354.34</v>
      </c>
      <c r="G5" s="43">
        <v>5159.42</v>
      </c>
      <c r="H5" s="43">
        <v>5212.58</v>
      </c>
      <c r="I5" s="44">
        <v>5219.13</v>
      </c>
      <c r="J5" s="43">
        <f>'Schedule Populated '!J4</f>
        <v>5622.77228135105</v>
      </c>
      <c r="K5" s="43">
        <f>'Schedule Populated '!K4</f>
        <v>6126.4819774664356</v>
      </c>
      <c r="L5" s="43">
        <f>'Schedule Populated '!L4</f>
        <v>6664.6925966834406</v>
      </c>
      <c r="M5" s="43">
        <f>'Schedule Populated '!M4</f>
        <v>7242.9200879369964</v>
      </c>
      <c r="N5" s="43">
        <f>'Schedule Populated '!N4</f>
        <v>7868.2905720161452</v>
      </c>
    </row>
    <row r="6" spans="1:14" x14ac:dyDescent="0.35">
      <c r="A6" s="32" t="s">
        <v>180</v>
      </c>
      <c r="B6" t="s">
        <v>126</v>
      </c>
      <c r="E6" s="76">
        <v>236.4</v>
      </c>
      <c r="F6" s="43">
        <v>149.13</v>
      </c>
      <c r="G6" s="43">
        <v>122.09</v>
      </c>
      <c r="H6" s="43">
        <v>127.16</v>
      </c>
      <c r="I6" s="44">
        <v>105.37</v>
      </c>
      <c r="J6" s="43">
        <f>Assumptions!J27</f>
        <v>131.05799999999999</v>
      </c>
      <c r="K6" s="43">
        <f>Assumptions!K27</f>
        <v>123.87220000000001</v>
      </c>
      <c r="L6" s="43">
        <f>Assumptions!L27</f>
        <v>124.32828000000001</v>
      </c>
      <c r="M6" s="43">
        <f>Assumptions!M27</f>
        <v>123.25177200000002</v>
      </c>
      <c r="N6" s="43">
        <f>Assumptions!N27</f>
        <v>122.62921280000002</v>
      </c>
    </row>
    <row r="7" spans="1:14" x14ac:dyDescent="0.35">
      <c r="A7" s="29" t="s">
        <v>143</v>
      </c>
      <c r="B7" t="s">
        <v>55</v>
      </c>
      <c r="E7" s="76">
        <v>511.24</v>
      </c>
      <c r="F7" s="43">
        <v>517.9</v>
      </c>
      <c r="G7" s="43">
        <v>481.28</v>
      </c>
      <c r="H7" s="43">
        <v>475.97</v>
      </c>
      <c r="I7" s="44">
        <v>483.39</v>
      </c>
      <c r="J7" s="43">
        <f>'Schedule Populated '!J5</f>
        <v>519.48850308966712</v>
      </c>
      <c r="K7" s="43">
        <f>'Schedule Populated '!K5</f>
        <v>555.60340333076101</v>
      </c>
      <c r="L7" s="43">
        <f>'Schedule Populated '!L5</f>
        <v>583.34714270202767</v>
      </c>
      <c r="M7" s="43">
        <f>'Schedule Populated '!M5</f>
        <v>616.08170391929275</v>
      </c>
      <c r="N7" s="43">
        <f>'Schedule Populated '!N5</f>
        <v>651.33106850083141</v>
      </c>
    </row>
    <row r="8" spans="1:14" x14ac:dyDescent="0.35">
      <c r="A8" s="29" t="s">
        <v>143</v>
      </c>
      <c r="B8" t="s">
        <v>99</v>
      </c>
      <c r="E8" s="76">
        <v>318.48</v>
      </c>
      <c r="F8" s="43">
        <v>321.3</v>
      </c>
      <c r="G8" s="43">
        <v>518.5</v>
      </c>
      <c r="H8" s="43">
        <v>543.65</v>
      </c>
      <c r="I8" s="44">
        <v>580.46</v>
      </c>
      <c r="J8" s="43">
        <f>'Schedule Populated '!J6</f>
        <v>779.28489579569941</v>
      </c>
      <c r="K8" s="43">
        <f>'Schedule Populated '!K6</f>
        <v>848.41352344736788</v>
      </c>
      <c r="L8" s="43">
        <f>'Schedule Populated '!L6</f>
        <v>927.63771033708781</v>
      </c>
      <c r="M8" s="43">
        <f>'Schedule Populated '!M6</f>
        <v>1019.7032770777205</v>
      </c>
      <c r="N8" s="43">
        <f>'Schedule Populated '!N6</f>
        <v>1135.9969319757911</v>
      </c>
    </row>
    <row r="9" spans="1:14" x14ac:dyDescent="0.35">
      <c r="A9" s="32" t="s">
        <v>180</v>
      </c>
      <c r="B9" t="s">
        <v>100</v>
      </c>
      <c r="E9" s="76">
        <v>258.73</v>
      </c>
      <c r="F9" s="43">
        <v>368.09</v>
      </c>
      <c r="G9" s="43">
        <v>331.62</v>
      </c>
      <c r="H9" s="43">
        <v>356.9</v>
      </c>
      <c r="I9" s="44">
        <v>381.81</v>
      </c>
      <c r="J9" s="43">
        <f>Assumptions!J28</f>
        <v>355.63799999999998</v>
      </c>
      <c r="K9" s="43">
        <f>Assumptions!K28</f>
        <v>362.45920000000001</v>
      </c>
      <c r="L9" s="43">
        <f>Assumptions!L28</f>
        <v>358.70808</v>
      </c>
      <c r="M9" s="43">
        <f>Assumptions!M28</f>
        <v>361.65579200000002</v>
      </c>
      <c r="N9" s="43">
        <f>Assumptions!N28</f>
        <v>362.26546080000003</v>
      </c>
    </row>
    <row r="10" spans="1:14" x14ac:dyDescent="0.35">
      <c r="A10" s="32" t="s">
        <v>180</v>
      </c>
      <c r="B10" t="s">
        <v>101</v>
      </c>
      <c r="E10" s="76">
        <v>2407.69</v>
      </c>
      <c r="F10" s="43">
        <v>2202.5100000000002</v>
      </c>
      <c r="G10" s="43">
        <v>2618.6999999999998</v>
      </c>
      <c r="H10" s="43">
        <v>3083.59</v>
      </c>
      <c r="I10" s="44">
        <v>2980.94</v>
      </c>
      <c r="J10" s="43">
        <f>Assumptions!J29</f>
        <v>2840.3429999999998</v>
      </c>
      <c r="K10" s="43">
        <f>Assumptions!K29</f>
        <v>2820.8991999999998</v>
      </c>
      <c r="L10" s="43">
        <f>Assumptions!L29</f>
        <v>2848.7855799999998</v>
      </c>
      <c r="M10" s="43">
        <f>Assumptions!M29</f>
        <v>2876.2712919999999</v>
      </c>
      <c r="N10" s="43">
        <f>Assumptions!N29</f>
        <v>2869.3624107999999</v>
      </c>
    </row>
    <row r="11" spans="1:14" x14ac:dyDescent="0.35">
      <c r="B11" s="3" t="s">
        <v>56</v>
      </c>
      <c r="E11" s="76"/>
      <c r="F11" s="43"/>
      <c r="G11" s="43"/>
      <c r="H11" s="43"/>
      <c r="I11" s="44"/>
      <c r="J11" s="43"/>
      <c r="K11" s="43"/>
      <c r="L11" s="43"/>
      <c r="M11" s="43"/>
      <c r="N11" s="43"/>
    </row>
    <row r="12" spans="1:14" x14ac:dyDescent="0.35">
      <c r="A12" s="32" t="s">
        <v>180</v>
      </c>
      <c r="B12" s="12" t="s">
        <v>57</v>
      </c>
      <c r="E12" s="76">
        <v>1948.59</v>
      </c>
      <c r="F12" s="43">
        <v>2455.0500000000002</v>
      </c>
      <c r="G12" s="43">
        <v>4600.38</v>
      </c>
      <c r="H12" s="43">
        <v>5362.57</v>
      </c>
      <c r="I12" s="44">
        <v>4767.33</v>
      </c>
      <c r="J12" s="43">
        <f>Assumptions!J31</f>
        <v>4416.1050000000005</v>
      </c>
      <c r="K12" s="43">
        <f>Assumptions!K31</f>
        <v>4438.4409999999998</v>
      </c>
      <c r="L12" s="43">
        <f>Assumptions!L31</f>
        <v>4573.2358999999997</v>
      </c>
      <c r="M12" s="43">
        <f>Assumptions!M31</f>
        <v>4615.4271600000002</v>
      </c>
      <c r="N12" s="43">
        <f>Assumptions!N31</f>
        <v>4580.3292339999998</v>
      </c>
    </row>
    <row r="13" spans="1:14" x14ac:dyDescent="0.35">
      <c r="A13" s="32" t="s">
        <v>180</v>
      </c>
      <c r="B13" s="12" t="s">
        <v>102</v>
      </c>
      <c r="E13" s="76">
        <v>16.73</v>
      </c>
      <c r="F13" s="43">
        <v>17.43</v>
      </c>
      <c r="G13" s="43">
        <v>19.87</v>
      </c>
      <c r="H13" s="43">
        <v>21.15</v>
      </c>
      <c r="I13" s="44">
        <v>24.87</v>
      </c>
      <c r="J13" s="43">
        <f>Assumptions!J32</f>
        <v>21.695999999999998</v>
      </c>
      <c r="K13" s="43">
        <f>Assumptions!K32</f>
        <v>21.984399999999997</v>
      </c>
      <c r="L13" s="43">
        <f>Assumptions!L32</f>
        <v>21.891559999999998</v>
      </c>
      <c r="M13" s="43">
        <f>Assumptions!M32</f>
        <v>22.123543999999999</v>
      </c>
      <c r="N13" s="43">
        <f>Assumptions!N32</f>
        <v>22.271925599999996</v>
      </c>
    </row>
    <row r="14" spans="1:14" x14ac:dyDescent="0.35">
      <c r="A14" s="32" t="s">
        <v>180</v>
      </c>
      <c r="B14" s="12" t="s">
        <v>103</v>
      </c>
      <c r="E14" s="76">
        <v>35.909999999999997</v>
      </c>
      <c r="F14" s="43">
        <v>42.01</v>
      </c>
      <c r="G14" s="43">
        <v>206.09</v>
      </c>
      <c r="H14" s="43">
        <v>189.44</v>
      </c>
      <c r="I14" s="44">
        <v>47.09</v>
      </c>
      <c r="J14" s="43">
        <f>Assumptions!J33</f>
        <v>104.069</v>
      </c>
      <c r="K14" s="43">
        <f>Assumptions!K33</f>
        <v>99.508600000000001</v>
      </c>
      <c r="L14" s="43">
        <f>Assumptions!L33</f>
        <v>115.28614000000002</v>
      </c>
      <c r="M14" s="43">
        <f>Assumptions!M33</f>
        <v>110.02693600000002</v>
      </c>
      <c r="N14" s="43">
        <f>Assumptions!N33</f>
        <v>103.66337640000003</v>
      </c>
    </row>
    <row r="15" spans="1:14" x14ac:dyDescent="0.35">
      <c r="A15" s="32" t="s">
        <v>180</v>
      </c>
      <c r="B15" s="12" t="s">
        <v>104</v>
      </c>
      <c r="E15" s="76">
        <v>378.49</v>
      </c>
      <c r="F15" s="43">
        <v>358.07</v>
      </c>
      <c r="G15" s="43">
        <v>270.69</v>
      </c>
      <c r="H15" s="43">
        <v>335.68</v>
      </c>
      <c r="I15" s="44">
        <v>254.49</v>
      </c>
      <c r="J15" s="43">
        <f>Assumptions!J34</f>
        <v>303.22500000000002</v>
      </c>
      <c r="K15" s="43">
        <f>Assumptions!K34</f>
        <v>294.08100000000002</v>
      </c>
      <c r="L15" s="43">
        <f>Assumptions!L34</f>
        <v>294.68590000000006</v>
      </c>
      <c r="M15" s="43">
        <f>Assumptions!M34</f>
        <v>295.43816000000004</v>
      </c>
      <c r="N15" s="43">
        <f>Assumptions!N34</f>
        <v>291.76063400000004</v>
      </c>
    </row>
    <row r="16" spans="1:14" x14ac:dyDescent="0.35">
      <c r="A16" s="32" t="s">
        <v>180</v>
      </c>
      <c r="B16" t="s">
        <v>58</v>
      </c>
      <c r="E16" s="76">
        <v>62.68</v>
      </c>
      <c r="F16" s="43">
        <v>120.34</v>
      </c>
      <c r="G16" s="43">
        <v>153.06</v>
      </c>
      <c r="H16" s="43">
        <v>128.65</v>
      </c>
      <c r="I16" s="44">
        <v>111.55</v>
      </c>
      <c r="J16" s="43">
        <f>Assumptions!J35</f>
        <v>116.82300000000001</v>
      </c>
      <c r="K16" s="43">
        <f>Assumptions!K35</f>
        <v>120.39920000000001</v>
      </c>
      <c r="L16" s="43">
        <f>Assumptions!L35</f>
        <v>122.53258000000001</v>
      </c>
      <c r="M16" s="43">
        <f>Assumptions!M35</f>
        <v>120.835092</v>
      </c>
      <c r="N16" s="43">
        <f>Assumptions!N35</f>
        <v>119.97103079999999</v>
      </c>
    </row>
    <row r="17" spans="1:14" x14ac:dyDescent="0.35">
      <c r="B17" s="13" t="s">
        <v>59</v>
      </c>
      <c r="E17" s="78">
        <f>SUM(E4:E16)</f>
        <v>11725.609999999999</v>
      </c>
      <c r="F17" s="45">
        <f>SUM(F4:F16)</f>
        <v>11906.17</v>
      </c>
      <c r="G17" s="45">
        <f>SUM(G4:G16)</f>
        <v>14481.700000000003</v>
      </c>
      <c r="H17" s="45">
        <f>SUM(H4:H16)</f>
        <v>15837.339999999998</v>
      </c>
      <c r="I17" s="46">
        <f>SUM(I4:I16)</f>
        <v>14956.43</v>
      </c>
      <c r="J17" s="45">
        <f t="shared" ref="J17:N17" si="0">SUM(J4:J16)</f>
        <v>15210.502680236417</v>
      </c>
      <c r="K17" s="45">
        <f t="shared" si="0"/>
        <v>15812.143704244563</v>
      </c>
      <c r="L17" s="45">
        <f t="shared" si="0"/>
        <v>16635.131469722553</v>
      </c>
      <c r="M17" s="45">
        <f t="shared" si="0"/>
        <v>17403.734816934008</v>
      </c>
      <c r="N17" s="45">
        <f t="shared" si="0"/>
        <v>18127.871857692764</v>
      </c>
    </row>
    <row r="18" spans="1:14" x14ac:dyDescent="0.35">
      <c r="B18" s="3"/>
      <c r="E18" s="78"/>
      <c r="F18" s="45"/>
      <c r="G18" s="45"/>
      <c r="H18" s="45"/>
      <c r="I18" s="46"/>
      <c r="J18" s="43"/>
      <c r="K18" s="43"/>
      <c r="L18" s="43"/>
      <c r="M18" s="43"/>
      <c r="N18" s="43"/>
    </row>
    <row r="19" spans="1:14" x14ac:dyDescent="0.35">
      <c r="B19" s="3" t="s">
        <v>60</v>
      </c>
      <c r="E19" s="76"/>
      <c r="F19" s="43"/>
      <c r="G19" s="43"/>
      <c r="H19" s="43"/>
      <c r="I19" s="44"/>
      <c r="J19" s="43"/>
      <c r="K19" s="43"/>
      <c r="L19" s="43"/>
      <c r="M19" s="43"/>
      <c r="N19" s="43"/>
    </row>
    <row r="20" spans="1:14" x14ac:dyDescent="0.35">
      <c r="A20" s="31" t="s">
        <v>174</v>
      </c>
      <c r="B20" t="s">
        <v>61</v>
      </c>
      <c r="E20" s="76">
        <v>1789.27</v>
      </c>
      <c r="F20" s="43">
        <v>1472.41</v>
      </c>
      <c r="G20" s="43">
        <v>1756.39</v>
      </c>
      <c r="H20" s="43">
        <v>1755.9</v>
      </c>
      <c r="I20" s="44">
        <v>2013.34</v>
      </c>
      <c r="J20" s="43">
        <f>'Schedule Populated '!J82</f>
        <v>2334.6416212221134</v>
      </c>
      <c r="K20" s="43">
        <f>'Schedule Populated '!K82</f>
        <v>2584.2505665268263</v>
      </c>
      <c r="L20" s="43">
        <f>'Schedule Populated '!L82</f>
        <v>2856.6639576343455</v>
      </c>
      <c r="M20" s="43">
        <f>'Schedule Populated '!M82</f>
        <v>3140.9796213199756</v>
      </c>
      <c r="N20" s="43">
        <f>'Schedule Populated '!N82</f>
        <v>3468.6562581445819</v>
      </c>
    </row>
    <row r="21" spans="1:14" x14ac:dyDescent="0.35">
      <c r="B21" s="3" t="s">
        <v>56</v>
      </c>
      <c r="E21" s="76"/>
      <c r="F21" s="43"/>
      <c r="G21" s="43"/>
      <c r="H21" s="43"/>
      <c r="I21" s="44"/>
      <c r="J21" s="43"/>
      <c r="K21" s="43"/>
      <c r="L21" s="43"/>
      <c r="M21" s="43"/>
      <c r="N21" s="43"/>
    </row>
    <row r="22" spans="1:14" x14ac:dyDescent="0.35">
      <c r="A22" s="31" t="s">
        <v>174</v>
      </c>
      <c r="B22" t="s">
        <v>105</v>
      </c>
      <c r="E22" s="76">
        <v>6225.34</v>
      </c>
      <c r="F22" s="43">
        <v>5870.31</v>
      </c>
      <c r="G22" s="43">
        <v>3671.85</v>
      </c>
      <c r="H22" s="43">
        <v>4305.08</v>
      </c>
      <c r="I22" s="44">
        <v>6635.99</v>
      </c>
      <c r="J22" s="43">
        <f>'Schedule Populated '!J84</f>
        <v>7062.4458883292527</v>
      </c>
      <c r="K22" s="43">
        <f>'Schedule Populated '!K84</f>
        <v>7889.1709166762739</v>
      </c>
      <c r="L22" s="43">
        <f>'Schedule Populated '!L84</f>
        <v>8318.0844654135017</v>
      </c>
      <c r="M22" s="43">
        <f>'Schedule Populated '!M84</f>
        <v>9299.76379645817</v>
      </c>
      <c r="N22" s="43">
        <f>'Schedule Populated '!N84</f>
        <v>10389.495650676536</v>
      </c>
    </row>
    <row r="23" spans="1:14" x14ac:dyDescent="0.35">
      <c r="A23" s="31" t="s">
        <v>174</v>
      </c>
      <c r="B23" t="s">
        <v>62</v>
      </c>
      <c r="E23" s="76">
        <v>2274.6799999999998</v>
      </c>
      <c r="F23" s="43">
        <v>2158.4899999999998</v>
      </c>
      <c r="G23" s="43">
        <v>2719.47</v>
      </c>
      <c r="H23" s="43">
        <v>2630.22</v>
      </c>
      <c r="I23" s="44">
        <v>3381.29</v>
      </c>
      <c r="J23" s="43">
        <f>'Schedule Populated '!J85</f>
        <v>3608.2971474558617</v>
      </c>
      <c r="K23" s="43">
        <f>'Schedule Populated '!K85</f>
        <v>4065.6725417674825</v>
      </c>
      <c r="L23" s="43">
        <f>'Schedule Populated '!L85</f>
        <v>4472.9613810880228</v>
      </c>
      <c r="M23" s="43">
        <f>'Schedule Populated '!M85</f>
        <v>4934.3840745378729</v>
      </c>
      <c r="N23" s="43">
        <f>'Schedule Populated '!N85</f>
        <v>5473.2641461990379</v>
      </c>
    </row>
    <row r="24" spans="1:14" x14ac:dyDescent="0.35">
      <c r="B24" t="s">
        <v>63</v>
      </c>
      <c r="E24" s="79">
        <f>274.62+121.62</f>
        <v>396.24</v>
      </c>
      <c r="F24" s="47">
        <f>181.02+118.72</f>
        <v>299.74</v>
      </c>
      <c r="G24" s="47">
        <f>226.3+196.5</f>
        <v>422.8</v>
      </c>
      <c r="H24" s="47">
        <f>604.91+91.56</f>
        <v>696.47</v>
      </c>
      <c r="I24" s="48">
        <f>383.55+190.53</f>
        <v>574.08000000000004</v>
      </c>
      <c r="J24" s="47">
        <f>CFS!E22</f>
        <v>9521.4997311102125</v>
      </c>
      <c r="K24" s="47">
        <f>CFS!F22</f>
        <v>14091.616529470251</v>
      </c>
      <c r="L24" s="47">
        <f>CFS!G22</f>
        <v>20480.929953901228</v>
      </c>
      <c r="M24" s="47">
        <f>CFS!H22</f>
        <v>26586.193430888532</v>
      </c>
      <c r="N24" s="47">
        <f>CFS!I22</f>
        <v>32895.555293044781</v>
      </c>
    </row>
    <row r="25" spans="1:14" x14ac:dyDescent="0.35">
      <c r="E25" s="76"/>
      <c r="F25" s="43"/>
      <c r="G25" s="43"/>
      <c r="H25" s="43"/>
      <c r="I25" s="44"/>
      <c r="J25" s="43"/>
      <c r="K25" s="43"/>
      <c r="L25" s="43"/>
      <c r="M25" s="43"/>
      <c r="N25" s="43"/>
    </row>
    <row r="26" spans="1:14" x14ac:dyDescent="0.35">
      <c r="A26" s="31" t="s">
        <v>174</v>
      </c>
      <c r="B26" t="s">
        <v>64</v>
      </c>
      <c r="E26" s="76">
        <v>22.95</v>
      </c>
      <c r="F26" s="43">
        <v>22.81</v>
      </c>
      <c r="G26" s="43">
        <v>23.71</v>
      </c>
      <c r="H26" s="43">
        <v>24.56</v>
      </c>
      <c r="I26" s="44">
        <v>27.07</v>
      </c>
      <c r="J26" s="43">
        <f>'Schedule Populated '!J86</f>
        <v>32.075261307918403</v>
      </c>
      <c r="K26" s="43">
        <f>'Schedule Populated '!K86</f>
        <v>35.735237451114386</v>
      </c>
      <c r="L26" s="43">
        <f>'Schedule Populated '!L86</f>
        <v>39.261237210881845</v>
      </c>
      <c r="M26" s="43">
        <f>'Schedule Populated '!M86</f>
        <v>43.22567277274991</v>
      </c>
      <c r="N26" s="43">
        <f>'Schedule Populated '!N86</f>
        <v>47.621582258765265</v>
      </c>
    </row>
    <row r="27" spans="1:14" x14ac:dyDescent="0.35">
      <c r="A27" s="31" t="s">
        <v>174</v>
      </c>
      <c r="B27" t="s">
        <v>106</v>
      </c>
      <c r="E27" s="76">
        <v>382.55</v>
      </c>
      <c r="F27" s="43">
        <v>475</v>
      </c>
      <c r="G27" s="43">
        <v>571.65</v>
      </c>
      <c r="H27" s="43">
        <v>423.53</v>
      </c>
      <c r="I27" s="44">
        <v>141.59</v>
      </c>
      <c r="J27" s="43">
        <f>'Schedule Populated '!J87</f>
        <v>436.99161690234712</v>
      </c>
      <c r="K27" s="43">
        <f>'Schedule Populated '!K87</f>
        <v>479.47182792325117</v>
      </c>
      <c r="L27" s="43">
        <f>'Schedule Populated '!L87</f>
        <v>555.24342936682672</v>
      </c>
      <c r="M27" s="43">
        <f>'Schedule Populated '!M87</f>
        <v>574.72190205995901</v>
      </c>
      <c r="N27" s="43">
        <f>'Schedule Populated '!N87</f>
        <v>609.88360003119124</v>
      </c>
    </row>
    <row r="28" spans="1:14" x14ac:dyDescent="0.35">
      <c r="A28" s="31" t="s">
        <v>174</v>
      </c>
      <c r="B28" t="s">
        <v>107</v>
      </c>
      <c r="E28" s="76">
        <v>0</v>
      </c>
      <c r="F28" s="43">
        <v>0</v>
      </c>
      <c r="G28" s="43">
        <v>0</v>
      </c>
      <c r="H28" s="43">
        <v>0</v>
      </c>
      <c r="I28" s="44">
        <v>198.12</v>
      </c>
      <c r="J28" s="43">
        <f>'Schedule Populated '!J88</f>
        <v>91.200605679318244</v>
      </c>
      <c r="K28" s="43">
        <f>'Schedule Populated '!K88</f>
        <v>116.47841688234894</v>
      </c>
      <c r="L28" s="43">
        <f>'Schedule Populated '!L88</f>
        <v>113.23148202456289</v>
      </c>
      <c r="M28" s="43">
        <f>'Schedule Populated '!M88</f>
        <v>136.1891331600128</v>
      </c>
      <c r="N28" s="43">
        <f>'Schedule Populated '!N88</f>
        <v>164.68573860770977</v>
      </c>
    </row>
    <row r="29" spans="1:14" x14ac:dyDescent="0.35">
      <c r="A29" s="31" t="s">
        <v>174</v>
      </c>
      <c r="B29" t="s">
        <v>108</v>
      </c>
      <c r="E29" s="76">
        <v>279.45</v>
      </c>
      <c r="F29" s="43">
        <v>273.45999999999998</v>
      </c>
      <c r="G29" s="43">
        <v>269.45999999999998</v>
      </c>
      <c r="H29" s="43">
        <v>479.69</v>
      </c>
      <c r="I29" s="44">
        <v>462.41</v>
      </c>
      <c r="J29" s="43">
        <f>'Schedule Populated '!J89</f>
        <v>515.88667642539701</v>
      </c>
      <c r="K29" s="43">
        <f>'Schedule Populated '!K89</f>
        <v>563.00711651376162</v>
      </c>
      <c r="L29" s="43">
        <f>'Schedule Populated '!L89</f>
        <v>624.09651446714338</v>
      </c>
      <c r="M29" s="43">
        <f>'Schedule Populated '!M89</f>
        <v>706.22301728402476</v>
      </c>
      <c r="N29" s="43">
        <f>'Schedule Populated '!N89</f>
        <v>771.14997151809303</v>
      </c>
    </row>
    <row r="30" spans="1:14" x14ac:dyDescent="0.35">
      <c r="B30" s="13" t="s">
        <v>65</v>
      </c>
      <c r="E30" s="78">
        <f>SUM(E20:E29)</f>
        <v>11370.480000000001</v>
      </c>
      <c r="F30" s="45">
        <f>SUM(F20:F29)</f>
        <v>10572.219999999998</v>
      </c>
      <c r="G30" s="45">
        <f>SUM(G20:G29)</f>
        <v>9435.3299999999963</v>
      </c>
      <c r="H30" s="45">
        <f>SUM(H20:H29)</f>
        <v>10315.449999999999</v>
      </c>
      <c r="I30" s="46">
        <f>SUM(I20:I29)</f>
        <v>13433.89</v>
      </c>
      <c r="J30" s="45">
        <f t="shared" ref="J30:N30" si="1">SUM(J20:J29)</f>
        <v>23603.038548432418</v>
      </c>
      <c r="K30" s="45">
        <f t="shared" si="1"/>
        <v>29825.403153211311</v>
      </c>
      <c r="L30" s="45">
        <f t="shared" si="1"/>
        <v>37460.472421106519</v>
      </c>
      <c r="M30" s="45">
        <f t="shared" si="1"/>
        <v>45421.680648481299</v>
      </c>
      <c r="N30" s="45">
        <f t="shared" si="1"/>
        <v>53820.312240480693</v>
      </c>
    </row>
    <row r="31" spans="1:14" x14ac:dyDescent="0.35">
      <c r="B31" s="14" t="s">
        <v>66</v>
      </c>
      <c r="E31" s="78">
        <f t="shared" ref="E31:N31" si="2">E17+E30</f>
        <v>23096.09</v>
      </c>
      <c r="F31" s="45">
        <f t="shared" si="2"/>
        <v>22478.39</v>
      </c>
      <c r="G31" s="45">
        <f t="shared" si="2"/>
        <v>23917.03</v>
      </c>
      <c r="H31" s="45">
        <f t="shared" si="2"/>
        <v>26152.789999999997</v>
      </c>
      <c r="I31" s="46">
        <f t="shared" si="2"/>
        <v>28390.32</v>
      </c>
      <c r="J31" s="45">
        <f t="shared" si="2"/>
        <v>38813.541228668837</v>
      </c>
      <c r="K31" s="45">
        <f t="shared" si="2"/>
        <v>45637.546857455876</v>
      </c>
      <c r="L31" s="45">
        <f t="shared" si="2"/>
        <v>54095.603890829072</v>
      </c>
      <c r="M31" s="45">
        <f t="shared" si="2"/>
        <v>62825.41546541531</v>
      </c>
      <c r="N31" s="45">
        <f t="shared" si="2"/>
        <v>71948.184098173457</v>
      </c>
    </row>
    <row r="32" spans="1:14" x14ac:dyDescent="0.35">
      <c r="B32" s="3" t="s">
        <v>67</v>
      </c>
      <c r="E32" s="76"/>
      <c r="F32" s="43"/>
      <c r="G32" s="43"/>
      <c r="H32" s="43"/>
      <c r="I32" s="44"/>
      <c r="J32" s="43"/>
      <c r="K32" s="43"/>
      <c r="L32" s="43"/>
      <c r="M32" s="43"/>
      <c r="N32" s="43"/>
    </row>
    <row r="33" spans="1:14" x14ac:dyDescent="0.35">
      <c r="B33" s="3" t="s">
        <v>68</v>
      </c>
      <c r="E33" s="76"/>
      <c r="F33" s="43"/>
      <c r="G33" s="43"/>
      <c r="H33" s="43"/>
      <c r="I33" s="44"/>
      <c r="J33" s="43"/>
      <c r="K33" s="43"/>
      <c r="L33" s="43"/>
      <c r="M33" s="43"/>
      <c r="N33" s="43"/>
    </row>
    <row r="34" spans="1:14" x14ac:dyDescent="0.35">
      <c r="A34" s="32" t="s">
        <v>180</v>
      </c>
      <c r="B34" t="s">
        <v>69</v>
      </c>
      <c r="E34" s="76">
        <v>39.96</v>
      </c>
      <c r="F34" s="43">
        <v>39.96</v>
      </c>
      <c r="G34" s="43">
        <v>39.97</v>
      </c>
      <c r="H34" s="43">
        <v>39.979999999999997</v>
      </c>
      <c r="I34" s="44">
        <v>40</v>
      </c>
      <c r="J34" s="43">
        <f>Assumptions!J37</f>
        <v>40</v>
      </c>
      <c r="K34" s="43">
        <f>Assumptions!K37</f>
        <v>40</v>
      </c>
      <c r="L34" s="43">
        <f>Assumptions!L37</f>
        <v>40</v>
      </c>
      <c r="M34" s="43">
        <f>Assumptions!M37</f>
        <v>40</v>
      </c>
      <c r="N34" s="43">
        <f>Assumptions!N37</f>
        <v>40</v>
      </c>
    </row>
    <row r="35" spans="1:14" x14ac:dyDescent="0.35">
      <c r="A35" s="32" t="s">
        <v>180</v>
      </c>
      <c r="B35" t="s">
        <v>70</v>
      </c>
      <c r="E35" s="76">
        <v>15376.46</v>
      </c>
      <c r="F35" s="43">
        <v>15806.69</v>
      </c>
      <c r="G35" s="43">
        <v>16615.599999999999</v>
      </c>
      <c r="H35" s="43">
        <v>17658.939999999999</v>
      </c>
      <c r="I35" s="44">
        <v>19232.04</v>
      </c>
      <c r="J35" s="43">
        <f>Assumptions!J38</f>
        <v>24461.428862852852</v>
      </c>
      <c r="K35" s="43">
        <f>Assumptions!K38</f>
        <v>30485.429216672412</v>
      </c>
      <c r="L35" s="43">
        <f>Assumptions!L38</f>
        <v>37037.012543749268</v>
      </c>
      <c r="M35" s="43">
        <f>Assumptions!M38</f>
        <v>44366.377768793085</v>
      </c>
      <c r="N35" s="43">
        <f>Assumptions!N38</f>
        <v>52213.487252627499</v>
      </c>
    </row>
    <row r="36" spans="1:14" x14ac:dyDescent="0.35">
      <c r="A36" s="32" t="s">
        <v>180</v>
      </c>
      <c r="B36" t="s">
        <v>71</v>
      </c>
      <c r="E36" s="76">
        <v>143.19</v>
      </c>
      <c r="F36" s="43">
        <v>148.05000000000001</v>
      </c>
      <c r="G36" s="43">
        <v>125.06</v>
      </c>
      <c r="H36" s="43">
        <v>135.65</v>
      </c>
      <c r="I36" s="44">
        <v>132.05000000000001</v>
      </c>
      <c r="J36" s="43">
        <f>Assumptions!J39</f>
        <v>135.14500000000001</v>
      </c>
      <c r="K36" s="43">
        <f>Assumptions!K39</f>
        <v>134.54900000000001</v>
      </c>
      <c r="L36" s="43">
        <f>Assumptions!L39</f>
        <v>133.63909999999998</v>
      </c>
      <c r="M36" s="43">
        <f>Assumptions!M39</f>
        <v>134.10484</v>
      </c>
      <c r="N36" s="43">
        <f>Assumptions!N39</f>
        <v>133.90806600000002</v>
      </c>
    </row>
    <row r="37" spans="1:14" x14ac:dyDescent="0.35">
      <c r="B37" s="13" t="s">
        <v>72</v>
      </c>
      <c r="E37" s="78">
        <f>SUM(E34:E36)</f>
        <v>15559.609999999999</v>
      </c>
      <c r="F37" s="45">
        <f t="shared" ref="F37:N37" si="3">SUM(F34:F36)</f>
        <v>15994.699999999999</v>
      </c>
      <c r="G37" s="45">
        <f t="shared" si="3"/>
        <v>16780.63</v>
      </c>
      <c r="H37" s="45">
        <f t="shared" si="3"/>
        <v>17834.57</v>
      </c>
      <c r="I37" s="46">
        <f t="shared" si="3"/>
        <v>19404.09</v>
      </c>
      <c r="J37" s="45">
        <f t="shared" si="3"/>
        <v>24636.573862852852</v>
      </c>
      <c r="K37" s="45">
        <f t="shared" si="3"/>
        <v>30659.978216672411</v>
      </c>
      <c r="L37" s="45">
        <f t="shared" si="3"/>
        <v>37210.651643749268</v>
      </c>
      <c r="M37" s="45">
        <f t="shared" si="3"/>
        <v>44540.482608793085</v>
      </c>
      <c r="N37" s="45">
        <f t="shared" si="3"/>
        <v>52387.395318627503</v>
      </c>
    </row>
    <row r="38" spans="1:14" x14ac:dyDescent="0.35">
      <c r="B38" s="3" t="s">
        <v>73</v>
      </c>
      <c r="E38" s="76"/>
      <c r="F38" s="43"/>
      <c r="G38" s="43"/>
      <c r="H38" s="43"/>
      <c r="I38" s="44"/>
      <c r="J38" s="43"/>
      <c r="K38" s="43"/>
      <c r="L38" s="43"/>
      <c r="M38" s="43"/>
      <c r="N38" s="43"/>
    </row>
    <row r="39" spans="1:14" x14ac:dyDescent="0.35">
      <c r="B39" s="3" t="s">
        <v>74</v>
      </c>
      <c r="E39" s="76"/>
      <c r="F39" s="43"/>
      <c r="G39" s="43"/>
      <c r="H39" s="43"/>
      <c r="I39" s="44"/>
      <c r="J39" s="43"/>
      <c r="K39" s="43"/>
      <c r="L39" s="43"/>
      <c r="M39" s="43"/>
      <c r="N39" s="43"/>
    </row>
    <row r="40" spans="1:14" x14ac:dyDescent="0.35">
      <c r="B40" t="s">
        <v>75</v>
      </c>
      <c r="E40" s="76"/>
      <c r="F40" s="43"/>
      <c r="G40" s="43"/>
      <c r="H40" s="43"/>
      <c r="I40" s="44"/>
      <c r="J40" s="43"/>
      <c r="K40" s="43"/>
      <c r="L40" s="43"/>
      <c r="M40" s="43"/>
      <c r="N40" s="43"/>
    </row>
    <row r="41" spans="1:14" x14ac:dyDescent="0.35">
      <c r="A41" s="31" t="s">
        <v>174</v>
      </c>
      <c r="B41" t="s">
        <v>76</v>
      </c>
      <c r="E41" s="76">
        <v>45.18</v>
      </c>
      <c r="F41" s="43">
        <v>36.17</v>
      </c>
      <c r="G41" s="43">
        <v>20.09</v>
      </c>
      <c r="H41" s="49" t="s">
        <v>12</v>
      </c>
      <c r="I41" s="50" t="s">
        <v>12</v>
      </c>
      <c r="J41" s="43">
        <f>'Schedule Populated '!J51</f>
        <v>1.0044999999999999</v>
      </c>
      <c r="K41" s="43">
        <f>'Schedule Populated '!K51</f>
        <v>1.0044999999999999</v>
      </c>
      <c r="L41" s="43">
        <f>'Schedule Populated '!L51</f>
        <v>1.0044999999999999</v>
      </c>
      <c r="M41" s="43">
        <f>'Schedule Populated '!M51</f>
        <v>1.0547249999999999</v>
      </c>
      <c r="N41" s="43">
        <f>'Schedule Populated '!N51</f>
        <v>1.1049499999999999</v>
      </c>
    </row>
    <row r="42" spans="1:14" x14ac:dyDescent="0.35">
      <c r="A42" s="31" t="s">
        <v>174</v>
      </c>
      <c r="B42" t="s">
        <v>77</v>
      </c>
      <c r="E42" s="76">
        <v>212.42</v>
      </c>
      <c r="F42" s="43">
        <v>215.51</v>
      </c>
      <c r="G42" s="43">
        <v>219.67</v>
      </c>
      <c r="H42" s="43">
        <v>199.13</v>
      </c>
      <c r="I42" s="44">
        <v>196.21</v>
      </c>
      <c r="J42" s="43">
        <f>'Schedule Populated '!J55</f>
        <v>206.0205</v>
      </c>
      <c r="K42" s="43">
        <f>'Schedule Populated '!K55</f>
        <v>216.32152500000001</v>
      </c>
      <c r="L42" s="43">
        <f>'Schedule Populated '!L55</f>
        <v>227.13760125000002</v>
      </c>
      <c r="M42" s="43">
        <f>'Schedule Populated '!M55</f>
        <v>238.49448131250003</v>
      </c>
      <c r="N42" s="43">
        <f>'Schedule Populated '!N55</f>
        <v>250.41920537812504</v>
      </c>
    </row>
    <row r="43" spans="1:14" x14ac:dyDescent="0.35">
      <c r="A43" s="32" t="s">
        <v>180</v>
      </c>
      <c r="B43" t="s">
        <v>78</v>
      </c>
      <c r="E43" s="76">
        <v>146.04</v>
      </c>
      <c r="F43" s="43">
        <v>155.04</v>
      </c>
      <c r="G43" s="43">
        <v>196.29</v>
      </c>
      <c r="H43" s="43">
        <v>178.13</v>
      </c>
      <c r="I43" s="44">
        <v>143.83000000000001</v>
      </c>
      <c r="J43" s="43">
        <f>Assumptions!J41</f>
        <v>160.70799999999997</v>
      </c>
      <c r="K43" s="43">
        <f>Assumptions!K41</f>
        <v>160.37819999999999</v>
      </c>
      <c r="L43" s="43">
        <f>Assumptions!L41</f>
        <v>164.18867999999998</v>
      </c>
      <c r="M43" s="43">
        <f>Assumptions!M41</f>
        <v>162.05573199999998</v>
      </c>
      <c r="N43" s="43">
        <f>Assumptions!N41</f>
        <v>160.57051680000001</v>
      </c>
    </row>
    <row r="44" spans="1:14" x14ac:dyDescent="0.35">
      <c r="A44" s="32" t="s">
        <v>180</v>
      </c>
      <c r="B44" t="s">
        <v>79</v>
      </c>
      <c r="E44" s="76">
        <v>175.57</v>
      </c>
      <c r="F44" s="43">
        <v>181.13</v>
      </c>
      <c r="G44" s="43">
        <v>201.94</v>
      </c>
      <c r="H44" s="43">
        <v>322.45999999999998</v>
      </c>
      <c r="I44" s="44">
        <v>495.29</v>
      </c>
      <c r="J44" s="43">
        <f>Assumptions!J42</f>
        <v>350.71800000000002</v>
      </c>
      <c r="K44" s="43">
        <f>Assumptions!K42</f>
        <v>359.42719999999997</v>
      </c>
      <c r="L44" s="43">
        <f>Assumptions!L42</f>
        <v>350.95528000000002</v>
      </c>
      <c r="M44" s="43">
        <f>Assumptions!M42</f>
        <v>365.05707199999995</v>
      </c>
      <c r="N44" s="43">
        <f>Assumptions!N42</f>
        <v>371.85293279999996</v>
      </c>
    </row>
    <row r="45" spans="1:14" x14ac:dyDescent="0.35">
      <c r="A45" s="32" t="s">
        <v>180</v>
      </c>
      <c r="B45" t="s">
        <v>80</v>
      </c>
      <c r="E45" s="76">
        <v>452.74</v>
      </c>
      <c r="F45" s="43">
        <v>378.21</v>
      </c>
      <c r="G45" s="43">
        <v>485.79</v>
      </c>
      <c r="H45" s="43">
        <v>570.13</v>
      </c>
      <c r="I45" s="44">
        <v>674.92</v>
      </c>
      <c r="J45" s="43">
        <f>Assumptions!J43</f>
        <v>572.68100000000004</v>
      </c>
      <c r="K45" s="43">
        <f>Assumptions!K43</f>
        <v>574.96140000000003</v>
      </c>
      <c r="L45" s="43">
        <f>Assumptions!L43</f>
        <v>574.87285999999995</v>
      </c>
      <c r="M45" s="43">
        <f>Assumptions!M43</f>
        <v>584.21066399999995</v>
      </c>
      <c r="N45" s="43">
        <f>Assumptions!N43</f>
        <v>588.40236359999994</v>
      </c>
    </row>
    <row r="46" spans="1:14" x14ac:dyDescent="0.35">
      <c r="B46" s="13" t="s">
        <v>81</v>
      </c>
      <c r="E46" s="78">
        <f>SUM(E41:E45)</f>
        <v>1031.95</v>
      </c>
      <c r="F46" s="45">
        <f>SUM(F41:F45)</f>
        <v>966.06</v>
      </c>
      <c r="G46" s="45">
        <f>SUM(G41:G45)</f>
        <v>1123.78</v>
      </c>
      <c r="H46" s="45">
        <f>SUM(H41:H45)</f>
        <v>1269.8499999999999</v>
      </c>
      <c r="I46" s="46">
        <f>SUM(I41:I45)</f>
        <v>1510.25</v>
      </c>
      <c r="J46" s="45">
        <f t="shared" ref="J46:N46" si="4">SUM(J41:J45)</f>
        <v>1291.1320000000001</v>
      </c>
      <c r="K46" s="45">
        <f t="shared" si="4"/>
        <v>1312.0928250000002</v>
      </c>
      <c r="L46" s="45">
        <f t="shared" si="4"/>
        <v>1318.1589212499998</v>
      </c>
      <c r="M46" s="45">
        <f t="shared" si="4"/>
        <v>1350.8726743124998</v>
      </c>
      <c r="N46" s="45">
        <f t="shared" si="4"/>
        <v>1372.3499685781248</v>
      </c>
    </row>
    <row r="47" spans="1:14" x14ac:dyDescent="0.35">
      <c r="B47" s="3" t="s">
        <v>82</v>
      </c>
      <c r="E47" s="76"/>
      <c r="F47" s="43"/>
      <c r="G47" s="43"/>
      <c r="H47" s="43"/>
      <c r="I47" s="44"/>
      <c r="J47" s="43"/>
      <c r="K47" s="43"/>
      <c r="L47" s="43"/>
      <c r="M47" s="43"/>
      <c r="N47" s="43"/>
    </row>
    <row r="48" spans="1:14" x14ac:dyDescent="0.35">
      <c r="B48" s="3" t="s">
        <v>83</v>
      </c>
      <c r="E48" s="76"/>
      <c r="F48" s="43"/>
      <c r="G48" s="43"/>
      <c r="H48" s="43"/>
      <c r="I48" s="44"/>
      <c r="J48" s="43"/>
      <c r="K48" s="43"/>
      <c r="L48" s="43"/>
      <c r="M48" s="43"/>
      <c r="N48" s="43"/>
    </row>
    <row r="49" spans="1:14" x14ac:dyDescent="0.35">
      <c r="A49" s="31" t="s">
        <v>174</v>
      </c>
      <c r="B49" t="s">
        <v>76</v>
      </c>
      <c r="E49" s="76">
        <v>296.85000000000002</v>
      </c>
      <c r="F49" s="43">
        <v>317.31</v>
      </c>
      <c r="G49" s="43">
        <v>293.14999999999998</v>
      </c>
      <c r="H49" s="43">
        <v>363.43</v>
      </c>
      <c r="I49" s="44">
        <v>456.76</v>
      </c>
      <c r="J49" s="43">
        <f>'Schedule Populated '!J93</f>
        <v>482.78834343628051</v>
      </c>
      <c r="K49" s="43">
        <f>'Schedule Populated '!K93</f>
        <v>541.51122024699282</v>
      </c>
      <c r="L49" s="43">
        <f>'Schedule Populated '!L93</f>
        <v>587.7775436034724</v>
      </c>
      <c r="M49" s="43">
        <f>'Schedule Populated '!M93</f>
        <v>657.20640355722867</v>
      </c>
      <c r="N49" s="43">
        <f>'Schedule Populated '!N93</f>
        <v>727.5032723421665</v>
      </c>
    </row>
    <row r="50" spans="1:14" x14ac:dyDescent="0.35">
      <c r="A50" s="31" t="s">
        <v>174</v>
      </c>
      <c r="B50" t="s">
        <v>77</v>
      </c>
      <c r="E50" s="76">
        <v>29.57</v>
      </c>
      <c r="F50" s="43">
        <v>36.18</v>
      </c>
      <c r="G50" s="43">
        <v>34.630000000000003</v>
      </c>
      <c r="H50" s="43">
        <v>43.85</v>
      </c>
      <c r="I50" s="44">
        <v>46.96</v>
      </c>
      <c r="J50" s="43">
        <f>'Schedule Populated '!J94</f>
        <v>53.108043988664136</v>
      </c>
      <c r="K50" s="43">
        <f>'Schedule Populated '!K94</f>
        <v>59.436857727589874</v>
      </c>
      <c r="L50" s="43">
        <f>'Schedule Populated '!L94</f>
        <v>65.131493040750087</v>
      </c>
      <c r="M50" s="43">
        <f>'Schedule Populated '!M94</f>
        <v>72.598194339749355</v>
      </c>
      <c r="N50" s="43">
        <f>'Schedule Populated '!N94</f>
        <v>79.751247082369446</v>
      </c>
    </row>
    <row r="51" spans="1:14" x14ac:dyDescent="0.35">
      <c r="A51" s="31" t="s">
        <v>174</v>
      </c>
      <c r="B51" t="s">
        <v>84</v>
      </c>
      <c r="E51" s="76">
        <v>16.68</v>
      </c>
      <c r="F51" s="43">
        <v>26.19</v>
      </c>
      <c r="G51" s="43">
        <v>2.44</v>
      </c>
      <c r="H51" s="43">
        <v>18.739999999999998</v>
      </c>
      <c r="I51" s="44">
        <v>21.5</v>
      </c>
      <c r="J51" s="43">
        <f>'Schedule Populated '!J95</f>
        <v>23.992803873230301</v>
      </c>
      <c r="K51" s="43">
        <f>'Schedule Populated '!K95</f>
        <v>26.550805526058625</v>
      </c>
      <c r="L51" s="43">
        <f>'Schedule Populated '!L95</f>
        <v>26.929598593463595</v>
      </c>
      <c r="M51" s="43">
        <f>'Schedule Populated '!M95</f>
        <v>31.447494027357017</v>
      </c>
      <c r="N51" s="43">
        <f>'Schedule Populated '!N95</f>
        <v>34.532949447905438</v>
      </c>
    </row>
    <row r="52" spans="1:14" x14ac:dyDescent="0.35">
      <c r="A52" s="31" t="s">
        <v>174</v>
      </c>
      <c r="B52" t="s">
        <v>85</v>
      </c>
      <c r="E52" s="76">
        <v>5247.5</v>
      </c>
      <c r="F52" s="43">
        <v>4316.8999999999996</v>
      </c>
      <c r="G52" s="43">
        <v>4757.7</v>
      </c>
      <c r="H52" s="43">
        <v>5604.16</v>
      </c>
      <c r="I52" s="44">
        <v>5678.16</v>
      </c>
      <c r="J52" s="43">
        <f>'Schedule Populated '!J96</f>
        <v>6858.1797437138775</v>
      </c>
      <c r="K52" s="43">
        <f>'Schedule Populated '!K96</f>
        <v>7499.5803083600413</v>
      </c>
      <c r="L52" s="43">
        <f>'Schedule Populated '!L96</f>
        <v>8317.8208221189689</v>
      </c>
      <c r="M52" s="43">
        <f>'Schedule Populated '!M96</f>
        <v>9199.1083383326477</v>
      </c>
      <c r="N52" s="43">
        <f>'Schedule Populated '!N96</f>
        <v>10097.262109962097</v>
      </c>
    </row>
    <row r="53" spans="1:14" x14ac:dyDescent="0.35">
      <c r="A53" s="31" t="s">
        <v>174</v>
      </c>
      <c r="B53" t="s">
        <v>86</v>
      </c>
      <c r="E53" s="76">
        <v>167.52</v>
      </c>
      <c r="F53" s="43">
        <v>145.58000000000001</v>
      </c>
      <c r="G53" s="43">
        <v>169.93</v>
      </c>
      <c r="H53" s="43">
        <v>254.9</v>
      </c>
      <c r="I53" s="44">
        <v>282.94</v>
      </c>
      <c r="J53" s="43">
        <f>'Schedule Populated '!J97</f>
        <v>4374.5974109197568</v>
      </c>
      <c r="K53" s="43">
        <f>'Schedule Populated '!K97</f>
        <v>4327.6305590566562</v>
      </c>
      <c r="L53" s="43">
        <f>'Schedule Populated '!L97</f>
        <v>5234.2918677046637</v>
      </c>
      <c r="M53" s="43">
        <f>'Schedule Populated '!M97</f>
        <v>5490.3947556173016</v>
      </c>
      <c r="N53" s="43">
        <f>'Schedule Populated '!N97</f>
        <v>5612.5266433202232</v>
      </c>
    </row>
    <row r="54" spans="1:14" x14ac:dyDescent="0.35">
      <c r="A54" s="31" t="s">
        <v>174</v>
      </c>
      <c r="B54" t="s">
        <v>87</v>
      </c>
      <c r="E54" s="76">
        <v>570.59</v>
      </c>
      <c r="F54" s="43">
        <v>496.32</v>
      </c>
      <c r="G54" s="43">
        <v>562.09</v>
      </c>
      <c r="H54" s="43">
        <v>603.85</v>
      </c>
      <c r="I54" s="44">
        <v>768.17</v>
      </c>
      <c r="J54" s="43">
        <f>'Schedule Populated '!J98</f>
        <v>521.25919638996845</v>
      </c>
      <c r="K54" s="43">
        <f>'Schedule Populated '!K98</f>
        <v>613.41829895088085</v>
      </c>
      <c r="L54" s="43">
        <f>'Schedule Populated '!L98</f>
        <v>640.34504980387521</v>
      </c>
      <c r="M54" s="43">
        <f>'Schedule Populated '!M98</f>
        <v>742.38566982493546</v>
      </c>
      <c r="N54" s="43">
        <f>'Schedule Populated '!N98</f>
        <v>853.20606208398351</v>
      </c>
    </row>
    <row r="55" spans="1:14" x14ac:dyDescent="0.35">
      <c r="A55" s="31" t="s">
        <v>174</v>
      </c>
      <c r="B55" t="s">
        <v>79</v>
      </c>
      <c r="E55" s="76">
        <v>175.82</v>
      </c>
      <c r="F55" s="43">
        <v>179.15</v>
      </c>
      <c r="G55" s="43">
        <v>192.68</v>
      </c>
      <c r="H55" s="43">
        <v>159.44</v>
      </c>
      <c r="I55" s="44">
        <v>221.49</v>
      </c>
      <c r="J55" s="43">
        <f>'Schedule Populated '!J99</f>
        <v>571.90982349420528</v>
      </c>
      <c r="K55" s="43">
        <f>'Schedule Populated '!K99</f>
        <v>597.3477659152436</v>
      </c>
      <c r="L55" s="43">
        <f>'Schedule Populated '!L99</f>
        <v>694.49695096460482</v>
      </c>
      <c r="M55" s="43">
        <f>'Schedule Populated '!M99</f>
        <v>740.91932661049418</v>
      </c>
      <c r="N55" s="43">
        <f>'Schedule Populated '!N99</f>
        <v>783.65652672908209</v>
      </c>
    </row>
    <row r="56" spans="1:14" x14ac:dyDescent="0.35">
      <c r="B56" s="3" t="s">
        <v>88</v>
      </c>
      <c r="E56" s="78">
        <f>SUM(E49:E55)</f>
        <v>6504.5300000000007</v>
      </c>
      <c r="F56" s="45">
        <f>SUM(F49:F55)</f>
        <v>5517.6299999999992</v>
      </c>
      <c r="G56" s="45">
        <f>SUM(G49:G55)</f>
        <v>6012.6200000000008</v>
      </c>
      <c r="H56" s="45">
        <f>SUM(H49:H55)</f>
        <v>7048.37</v>
      </c>
      <c r="I56" s="46">
        <f>SUM(I49:I55)</f>
        <v>7475.98</v>
      </c>
      <c r="J56" s="45">
        <f t="shared" ref="J56:N56" si="5">SUM(J49:J55)</f>
        <v>12885.835365815983</v>
      </c>
      <c r="K56" s="45">
        <f t="shared" si="5"/>
        <v>13665.475815783464</v>
      </c>
      <c r="L56" s="45">
        <f t="shared" si="5"/>
        <v>15566.793325829798</v>
      </c>
      <c r="M56" s="45">
        <f t="shared" si="5"/>
        <v>16934.060182309713</v>
      </c>
      <c r="N56" s="45">
        <f t="shared" si="5"/>
        <v>18188.438810967829</v>
      </c>
    </row>
    <row r="57" spans="1:14" x14ac:dyDescent="0.35">
      <c r="B57" s="14" t="s">
        <v>89</v>
      </c>
      <c r="E57" s="78">
        <f>E46+E56</f>
        <v>7536.4800000000005</v>
      </c>
      <c r="F57" s="45">
        <f t="shared" ref="F57:I57" si="6">F46+F56</f>
        <v>6483.6899999999987</v>
      </c>
      <c r="G57" s="45">
        <f t="shared" si="6"/>
        <v>7136.4000000000005</v>
      </c>
      <c r="H57" s="45">
        <f t="shared" si="6"/>
        <v>8318.2199999999993</v>
      </c>
      <c r="I57" s="46">
        <f t="shared" si="6"/>
        <v>8986.23</v>
      </c>
      <c r="J57" s="45">
        <f>J46+J56</f>
        <v>14176.967365815983</v>
      </c>
      <c r="K57" s="45">
        <f t="shared" ref="K57:N57" si="7">K46+K56</f>
        <v>14977.568640783464</v>
      </c>
      <c r="L57" s="45">
        <f t="shared" si="7"/>
        <v>16884.952247079797</v>
      </c>
      <c r="M57" s="45">
        <f t="shared" si="7"/>
        <v>18284.932856622214</v>
      </c>
      <c r="N57" s="45">
        <f t="shared" si="7"/>
        <v>19560.788779545954</v>
      </c>
    </row>
    <row r="58" spans="1:14" x14ac:dyDescent="0.35">
      <c r="B58" s="15" t="s">
        <v>90</v>
      </c>
      <c r="E58" s="78">
        <f>E57+E37</f>
        <v>23096.09</v>
      </c>
      <c r="F58" s="45">
        <f>F57+F37</f>
        <v>22478.39</v>
      </c>
      <c r="G58" s="45">
        <f>G57+G37</f>
        <v>23917.030000000002</v>
      </c>
      <c r="H58" s="45">
        <f>H57+H37</f>
        <v>26152.79</v>
      </c>
      <c r="I58" s="46">
        <f>I57+I37</f>
        <v>28390.32</v>
      </c>
      <c r="J58" s="45">
        <f t="shared" ref="J58:N58" si="8">J57+J37</f>
        <v>38813.541228668837</v>
      </c>
      <c r="K58" s="45">
        <f t="shared" si="8"/>
        <v>45637.546857455876</v>
      </c>
      <c r="L58" s="45">
        <f t="shared" si="8"/>
        <v>54095.603890829065</v>
      </c>
      <c r="M58" s="45">
        <f t="shared" si="8"/>
        <v>62825.415465415295</v>
      </c>
      <c r="N58" s="45">
        <f t="shared" si="8"/>
        <v>71948.184098173457</v>
      </c>
    </row>
    <row r="59" spans="1:14" x14ac:dyDescent="0.35">
      <c r="E59" s="76"/>
      <c r="F59" s="43"/>
      <c r="G59" s="43"/>
      <c r="H59" s="43"/>
      <c r="I59" s="44"/>
      <c r="J59" s="43"/>
      <c r="K59" s="43"/>
      <c r="L59" s="43"/>
      <c r="M59" s="43"/>
      <c r="N59" s="43"/>
    </row>
    <row r="60" spans="1:14" x14ac:dyDescent="0.35">
      <c r="E60" s="76"/>
      <c r="F60" s="43"/>
      <c r="G60" s="43"/>
      <c r="H60" s="43"/>
      <c r="I60" s="44"/>
      <c r="J60" s="43"/>
      <c r="K60" s="43"/>
      <c r="L60" s="43"/>
      <c r="M60" s="43"/>
      <c r="N60" s="43"/>
    </row>
    <row r="61" spans="1:14" x14ac:dyDescent="0.35">
      <c r="E61" s="76"/>
      <c r="F61" s="43"/>
      <c r="G61" s="43"/>
      <c r="H61" s="43"/>
      <c r="I61" s="44"/>
      <c r="J61" s="43"/>
      <c r="K61" s="43"/>
      <c r="L61" s="43"/>
      <c r="M61" s="43"/>
      <c r="N61" s="43"/>
    </row>
    <row r="62" spans="1:14" x14ac:dyDescent="0.35">
      <c r="B62" t="s">
        <v>204</v>
      </c>
      <c r="E62" s="76">
        <f>E58-E31</f>
        <v>0</v>
      </c>
      <c r="F62" s="43">
        <f t="shared" ref="F62:N62" si="9">F58-F31</f>
        <v>0</v>
      </c>
      <c r="G62" s="43">
        <f t="shared" si="9"/>
        <v>0</v>
      </c>
      <c r="H62" s="43">
        <f t="shared" si="9"/>
        <v>0</v>
      </c>
      <c r="I62" s="44">
        <f t="shared" si="9"/>
        <v>0</v>
      </c>
      <c r="J62" s="43">
        <f t="shared" si="9"/>
        <v>0</v>
      </c>
      <c r="K62" s="43">
        <f t="shared" si="9"/>
        <v>0</v>
      </c>
      <c r="L62" s="43">
        <f t="shared" si="9"/>
        <v>0</v>
      </c>
      <c r="M62" s="43">
        <f t="shared" si="9"/>
        <v>0</v>
      </c>
      <c r="N62" s="43">
        <f t="shared" si="9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CFFD-4C88-4AF6-8286-A13F692B7CBD}">
  <dimension ref="A2:Q26"/>
  <sheetViews>
    <sheetView showGridLines="0" workbookViewId="0">
      <pane ySplit="2" topLeftCell="A3" activePane="bottomLeft" state="frozen"/>
      <selection pane="bottomLeft" activeCell="J24" sqref="J24"/>
    </sheetView>
  </sheetViews>
  <sheetFormatPr defaultRowHeight="14.5" x14ac:dyDescent="0.35"/>
  <cols>
    <col min="1" max="1" width="13.90625" bestFit="1" customWidth="1"/>
    <col min="2" max="2" width="49.7265625" customWidth="1"/>
    <col min="5" max="14" width="10.81640625" bestFit="1" customWidth="1"/>
  </cols>
  <sheetData>
    <row r="2" spans="1:17" x14ac:dyDescent="0.35">
      <c r="B2" s="22" t="s">
        <v>46</v>
      </c>
      <c r="C2" s="19" t="s">
        <v>50</v>
      </c>
      <c r="D2" s="19"/>
      <c r="E2" s="75" t="s">
        <v>45</v>
      </c>
      <c r="F2" s="19" t="s">
        <v>44</v>
      </c>
      <c r="G2" s="19" t="s">
        <v>43</v>
      </c>
      <c r="H2" s="19" t="s">
        <v>42</v>
      </c>
      <c r="I2" s="40" t="s">
        <v>41</v>
      </c>
      <c r="J2" s="19" t="s">
        <v>40</v>
      </c>
      <c r="K2" s="19" t="s">
        <v>39</v>
      </c>
      <c r="L2" s="19" t="s">
        <v>38</v>
      </c>
      <c r="M2" s="19" t="s">
        <v>37</v>
      </c>
      <c r="N2" s="19" t="s">
        <v>36</v>
      </c>
    </row>
    <row r="3" spans="1:17" x14ac:dyDescent="0.35">
      <c r="E3" s="77"/>
      <c r="I3" s="41"/>
    </row>
    <row r="4" spans="1:17" x14ac:dyDescent="0.35">
      <c r="B4" s="3" t="s">
        <v>91</v>
      </c>
      <c r="E4" s="77"/>
      <c r="I4" s="41"/>
    </row>
    <row r="5" spans="1:17" x14ac:dyDescent="0.35">
      <c r="A5" s="28" t="s">
        <v>173</v>
      </c>
      <c r="B5" t="s">
        <v>48</v>
      </c>
      <c r="E5" s="76">
        <v>30959.19</v>
      </c>
      <c r="F5" s="43">
        <v>29551.279999999999</v>
      </c>
      <c r="G5" s="43">
        <v>34158.379999999997</v>
      </c>
      <c r="H5" s="43">
        <v>37788.620000000003</v>
      </c>
      <c r="I5" s="44">
        <v>40923.42</v>
      </c>
      <c r="J5" s="43">
        <f>'Revenue Model'!J19</f>
        <v>47095.708288778587</v>
      </c>
      <c r="K5" s="43">
        <f>'Revenue Model'!K19</f>
        <v>52303.557516870067</v>
      </c>
      <c r="L5" s="43">
        <f>'Revenue Model'!L19</f>
        <v>57893.449615914811</v>
      </c>
      <c r="M5" s="43">
        <f>'Revenue Model'!M19</f>
        <v>63992.39631130363</v>
      </c>
      <c r="N5" s="43">
        <f>'Revenue Model'!N19</f>
        <v>70423.320395193645</v>
      </c>
    </row>
    <row r="6" spans="1:17" x14ac:dyDescent="0.35">
      <c r="A6" s="32" t="s">
        <v>180</v>
      </c>
      <c r="B6" t="s">
        <v>28</v>
      </c>
      <c r="E6" s="76">
        <v>557.9</v>
      </c>
      <c r="F6" s="43">
        <v>555.01</v>
      </c>
      <c r="G6" s="43">
        <v>569.01</v>
      </c>
      <c r="H6" s="43">
        <v>854.54</v>
      </c>
      <c r="I6" s="44">
        <v>1044.08</v>
      </c>
      <c r="J6" s="43">
        <f>Assumptions!J5</f>
        <v>1412.8712486633576</v>
      </c>
      <c r="K6" s="43">
        <f>Assumptions!K5</f>
        <v>1569.1067255061021</v>
      </c>
      <c r="L6" s="43">
        <f>Assumptions!L5</f>
        <v>1736.8034884774443</v>
      </c>
      <c r="M6" s="43">
        <f>Assumptions!M5</f>
        <v>1919.7718893391088</v>
      </c>
      <c r="N6" s="43">
        <f>Assumptions!N5</f>
        <v>2112.6996118558091</v>
      </c>
    </row>
    <row r="7" spans="1:17" x14ac:dyDescent="0.35">
      <c r="B7" s="3" t="s">
        <v>92</v>
      </c>
      <c r="E7" s="78">
        <f>E5+E6</f>
        <v>31517.09</v>
      </c>
      <c r="F7" s="45">
        <f>F5+F6</f>
        <v>30106.289999999997</v>
      </c>
      <c r="G7" s="45">
        <f>G5+G6</f>
        <v>34727.39</v>
      </c>
      <c r="H7" s="45">
        <f>H5+H6</f>
        <v>38643.160000000003</v>
      </c>
      <c r="I7" s="46">
        <f>I5+I6</f>
        <v>41967.5</v>
      </c>
      <c r="J7" s="45">
        <f t="shared" ref="J7:N7" si="0">J5+J6</f>
        <v>48508.579537441947</v>
      </c>
      <c r="K7" s="45">
        <f t="shared" si="0"/>
        <v>53872.664242376166</v>
      </c>
      <c r="L7" s="45">
        <f t="shared" si="0"/>
        <v>59630.253104392257</v>
      </c>
      <c r="M7" s="45">
        <f t="shared" si="0"/>
        <v>65912.168200642744</v>
      </c>
      <c r="N7" s="45">
        <f t="shared" si="0"/>
        <v>72536.020007049461</v>
      </c>
    </row>
    <row r="8" spans="1:17" x14ac:dyDescent="0.35">
      <c r="B8" s="3" t="s">
        <v>93</v>
      </c>
      <c r="E8" s="76"/>
      <c r="F8" s="43"/>
      <c r="G8" s="43"/>
      <c r="H8" s="43"/>
      <c r="I8" s="44"/>
      <c r="J8" s="43"/>
      <c r="K8" s="43"/>
      <c r="L8" s="43"/>
      <c r="M8" s="43"/>
      <c r="N8" s="43"/>
    </row>
    <row r="9" spans="1:17" x14ac:dyDescent="0.35">
      <c r="A9" s="32" t="s">
        <v>180</v>
      </c>
      <c r="B9" t="s">
        <v>109</v>
      </c>
      <c r="E9" s="76">
        <v>21968.04</v>
      </c>
      <c r="F9" s="43">
        <v>20845.740000000002</v>
      </c>
      <c r="G9" s="43">
        <v>24060.29</v>
      </c>
      <c r="H9" s="43">
        <v>24836.89</v>
      </c>
      <c r="I9" s="44">
        <v>26607.07</v>
      </c>
      <c r="J9" s="43">
        <f>Assumptions!J11</f>
        <v>31491.028294858676</v>
      </c>
      <c r="K9" s="43">
        <f>Assumptions!K11</f>
        <v>34750.663080062062</v>
      </c>
      <c r="L9" s="43">
        <f>Assumptions!L11</f>
        <v>38332.338891253501</v>
      </c>
      <c r="M9" s="43">
        <f>Assumptions!M11</f>
        <v>42421.667497904833</v>
      </c>
      <c r="N9" s="43">
        <f>Assumptions!N11</f>
        <v>46729.342451094082</v>
      </c>
    </row>
    <row r="10" spans="1:17" x14ac:dyDescent="0.35">
      <c r="A10" s="32" t="s">
        <v>180</v>
      </c>
      <c r="B10" t="s">
        <v>110</v>
      </c>
      <c r="E10" s="76">
        <v>31.14</v>
      </c>
      <c r="F10" s="43">
        <v>45.95</v>
      </c>
      <c r="G10" s="43">
        <v>47.43</v>
      </c>
      <c r="H10" s="43">
        <v>484.2</v>
      </c>
      <c r="I10" s="44">
        <v>547.91</v>
      </c>
      <c r="J10" s="43">
        <f>Assumptions!J13</f>
        <v>617.00198893447077</v>
      </c>
      <c r="K10" s="43">
        <f>Assumptions!K13</f>
        <v>692.75250231605514</v>
      </c>
      <c r="L10" s="43">
        <f>Assumptions!L13</f>
        <v>762.62660464500811</v>
      </c>
      <c r="M10" s="43">
        <f>Assumptions!M13</f>
        <v>845.26849327258242</v>
      </c>
      <c r="N10" s="43">
        <f>Assumptions!N13</f>
        <v>928.9478137382514</v>
      </c>
    </row>
    <row r="11" spans="1:17" x14ac:dyDescent="0.35">
      <c r="A11" s="32" t="s">
        <v>180</v>
      </c>
      <c r="B11" t="s">
        <v>111</v>
      </c>
      <c r="E11" s="76">
        <v>-255.57</v>
      </c>
      <c r="F11" s="43">
        <v>28.67</v>
      </c>
      <c r="G11" s="43">
        <v>-163.69</v>
      </c>
      <c r="H11" s="43">
        <v>188.35</v>
      </c>
      <c r="I11" s="44">
        <v>-244.34</v>
      </c>
      <c r="J11" s="43">
        <f>Assumptions!J15</f>
        <v>3.261462346714552</v>
      </c>
      <c r="K11" s="43">
        <f>Assumptions!K15</f>
        <v>-204.29838445320638</v>
      </c>
      <c r="L11" s="43">
        <f>Assumptions!L15</f>
        <v>-15.795034991858302</v>
      </c>
      <c r="M11" s="43">
        <f>Assumptions!M15</f>
        <v>-235.66620034002062</v>
      </c>
      <c r="N11" s="43">
        <f>Assumptions!N15</f>
        <v>-29.01816683918014</v>
      </c>
    </row>
    <row r="12" spans="1:17" x14ac:dyDescent="0.35">
      <c r="A12" s="32" t="s">
        <v>180</v>
      </c>
      <c r="B12" t="s">
        <v>94</v>
      </c>
      <c r="E12" s="76">
        <v>1951.02</v>
      </c>
      <c r="F12" s="43">
        <v>1995.78</v>
      </c>
      <c r="G12" s="43">
        <v>2250.0500000000002</v>
      </c>
      <c r="H12" s="43">
        <v>2471.5500000000002</v>
      </c>
      <c r="I12" s="44">
        <v>2680.07</v>
      </c>
      <c r="J12" s="43">
        <f>Assumptions!J16</f>
        <v>3083.0813982739783</v>
      </c>
      <c r="K12" s="43">
        <f>Assumptions!K16</f>
        <v>3449.5861770819865</v>
      </c>
      <c r="L12" s="43">
        <f>Assumptions!L16</f>
        <v>3799.9285688770574</v>
      </c>
      <c r="M12" s="43">
        <f>Assumptions!M16</f>
        <v>4197.2412700456989</v>
      </c>
      <c r="N12" s="43">
        <f>Assumptions!N16</f>
        <v>4621.6503060947744</v>
      </c>
    </row>
    <row r="13" spans="1:17" x14ac:dyDescent="0.35">
      <c r="A13" s="30" t="s">
        <v>144</v>
      </c>
      <c r="B13" t="s">
        <v>95</v>
      </c>
      <c r="E13" s="76">
        <v>46.41</v>
      </c>
      <c r="F13" s="43">
        <v>53.1</v>
      </c>
      <c r="G13" s="43">
        <v>104.88</v>
      </c>
      <c r="H13" s="43">
        <v>76.37</v>
      </c>
      <c r="I13" s="44">
        <v>70.650000000000006</v>
      </c>
      <c r="J13" s="43">
        <f>'Schedule Populated '!J61</f>
        <v>81.949968860473348</v>
      </c>
      <c r="K13" s="43">
        <f>'Schedule Populated '!K61</f>
        <v>95.680508136224645</v>
      </c>
      <c r="L13" s="43">
        <f>'Schedule Populated '!L61</f>
        <v>111.97452158982341</v>
      </c>
      <c r="M13" s="43">
        <f>'Schedule Populated '!M61</f>
        <v>111.88427607440696</v>
      </c>
      <c r="N13" s="43">
        <f>'Schedule Populated '!N61</f>
        <v>121.23216293452784</v>
      </c>
    </row>
    <row r="14" spans="1:17" x14ac:dyDescent="0.35">
      <c r="A14" s="29" t="s">
        <v>143</v>
      </c>
      <c r="B14" t="s">
        <v>96</v>
      </c>
      <c r="E14" s="76">
        <v>715.12</v>
      </c>
      <c r="F14" s="43">
        <v>689.52</v>
      </c>
      <c r="G14" s="43">
        <v>697.39</v>
      </c>
      <c r="H14" s="43">
        <v>757.36</v>
      </c>
      <c r="I14" s="44">
        <v>824.59</v>
      </c>
      <c r="J14" s="43">
        <f>'Schedule Populated '!J28</f>
        <v>845.69631976358392</v>
      </c>
      <c r="K14" s="43">
        <f>'Schedule Populated '!K28</f>
        <v>913.30015156630395</v>
      </c>
      <c r="L14" s="43">
        <f>'Schedule Populated '!L28</f>
        <v>998.76172734135616</v>
      </c>
      <c r="M14" s="43">
        <f>'Schedule Populated '!M28</f>
        <v>1094.7434900029882</v>
      </c>
      <c r="N14" s="43">
        <f>'Schedule Populated '!N28</f>
        <v>1193.6247784466204</v>
      </c>
    </row>
    <row r="15" spans="1:17" x14ac:dyDescent="0.35">
      <c r="A15" s="32" t="s">
        <v>180</v>
      </c>
      <c r="B15" t="s">
        <v>97</v>
      </c>
      <c r="E15" s="76">
        <v>3165.05</v>
      </c>
      <c r="F15" s="43">
        <v>3190.37</v>
      </c>
      <c r="G15" s="43">
        <v>3870.53</v>
      </c>
      <c r="H15" s="43">
        <v>4458</v>
      </c>
      <c r="I15" s="44">
        <v>5386.87</v>
      </c>
      <c r="J15" s="43">
        <f>Assumptions!J18</f>
        <v>5398.2013407359345</v>
      </c>
      <c r="K15" s="43">
        <f>Assumptions!K18</f>
        <v>6124.7325077876048</v>
      </c>
      <c r="L15" s="43">
        <f>Assumptions!L18</f>
        <v>6885.1280661198953</v>
      </c>
      <c r="M15" s="43">
        <f>Assumptions!M18</f>
        <v>7682.3411135675633</v>
      </c>
      <c r="N15" s="43">
        <f>Assumptions!N18</f>
        <v>8483.658430076428</v>
      </c>
      <c r="Q15" t="s">
        <v>288</v>
      </c>
    </row>
    <row r="16" spans="1:17" x14ac:dyDescent="0.35">
      <c r="B16" s="3" t="s">
        <v>98</v>
      </c>
      <c r="E16" s="78">
        <f>SUM(E9:E15)</f>
        <v>27621.21</v>
      </c>
      <c r="F16" s="45">
        <f>SUM(F9:F15)</f>
        <v>26849.129999999997</v>
      </c>
      <c r="G16" s="45">
        <f>SUM(G9:G15)</f>
        <v>30866.880000000001</v>
      </c>
      <c r="H16" s="45">
        <f>SUM(H9:H15)</f>
        <v>33272.720000000001</v>
      </c>
      <c r="I16" s="46">
        <f>SUM(I9:I15)</f>
        <v>35872.82</v>
      </c>
      <c r="J16" s="45">
        <f t="shared" ref="J16:N16" si="1">SUM(J9:J15)</f>
        <v>41520.220773773828</v>
      </c>
      <c r="K16" s="45">
        <f t="shared" si="1"/>
        <v>45822.416542497027</v>
      </c>
      <c r="L16" s="45">
        <f t="shared" si="1"/>
        <v>50874.963344834781</v>
      </c>
      <c r="M16" s="45">
        <f t="shared" si="1"/>
        <v>56117.479940528057</v>
      </c>
      <c r="N16" s="45">
        <f t="shared" si="1"/>
        <v>62049.437775545499</v>
      </c>
    </row>
    <row r="17" spans="1:14" x14ac:dyDescent="0.35">
      <c r="B17" s="3" t="s">
        <v>185</v>
      </c>
      <c r="E17" s="76">
        <v>3849.32</v>
      </c>
      <c r="F17" s="43">
        <v>3058.11</v>
      </c>
      <c r="G17" s="43">
        <v>3863.62</v>
      </c>
      <c r="H17" s="43">
        <v>5250.19</v>
      </c>
      <c r="I17" s="44">
        <v>5933.56</v>
      </c>
      <c r="J17" s="51">
        <f>J7-J16</f>
        <v>6988.3587636681186</v>
      </c>
      <c r="K17" s="51">
        <f t="shared" ref="K17:N17" si="2">K7-K16</f>
        <v>8050.247699879139</v>
      </c>
      <c r="L17" s="51">
        <f t="shared" si="2"/>
        <v>8755.2897595574759</v>
      </c>
      <c r="M17" s="51">
        <f t="shared" si="2"/>
        <v>9794.6882601146863</v>
      </c>
      <c r="N17" s="51">
        <f t="shared" si="2"/>
        <v>10486.582231503962</v>
      </c>
    </row>
    <row r="18" spans="1:14" x14ac:dyDescent="0.35">
      <c r="A18" s="32" t="s">
        <v>180</v>
      </c>
      <c r="B18" t="s">
        <v>112</v>
      </c>
      <c r="E18" s="76">
        <v>0</v>
      </c>
      <c r="F18" s="43">
        <v>0</v>
      </c>
      <c r="G18" s="43">
        <v>0</v>
      </c>
      <c r="H18" s="43">
        <v>159.99</v>
      </c>
      <c r="I18" s="44">
        <v>0</v>
      </c>
      <c r="J18" s="43">
        <f>Assumptions!J20</f>
        <v>0</v>
      </c>
      <c r="K18" s="43">
        <f>Assumptions!K20</f>
        <v>0</v>
      </c>
      <c r="L18" s="43">
        <f>Assumptions!L20</f>
        <v>0</v>
      </c>
      <c r="M18" s="43">
        <f>Assumptions!M20</f>
        <v>0</v>
      </c>
      <c r="N18" s="43">
        <f>Assumptions!N20</f>
        <v>0</v>
      </c>
    </row>
    <row r="19" spans="1:14" x14ac:dyDescent="0.35">
      <c r="A19" s="32" t="s">
        <v>180</v>
      </c>
      <c r="B19" t="s">
        <v>113</v>
      </c>
      <c r="E19" s="76">
        <f t="shared" ref="E19:I19" si="3">E17-E18</f>
        <v>3849.32</v>
      </c>
      <c r="F19" s="43">
        <f t="shared" si="3"/>
        <v>3058.11</v>
      </c>
      <c r="G19" s="43">
        <f t="shared" si="3"/>
        <v>3863.62</v>
      </c>
      <c r="H19" s="43">
        <f>H17-H18</f>
        <v>5090.2</v>
      </c>
      <c r="I19" s="44">
        <f t="shared" si="3"/>
        <v>5933.56</v>
      </c>
      <c r="J19" s="43">
        <f t="shared" ref="J19" si="4">J17-J18</f>
        <v>6988.3587636681186</v>
      </c>
      <c r="K19" s="43">
        <f t="shared" ref="K19" si="5">K17-K18</f>
        <v>8050.247699879139</v>
      </c>
      <c r="L19" s="43">
        <f t="shared" ref="L19" si="6">L17-L18</f>
        <v>8755.2897595574759</v>
      </c>
      <c r="M19" s="43">
        <f t="shared" ref="M19" si="7">M17-M18</f>
        <v>9794.6882601146863</v>
      </c>
      <c r="N19" s="43">
        <f t="shared" ref="N19" si="8">N17-N18</f>
        <v>10486.582231503962</v>
      </c>
    </row>
    <row r="20" spans="1:14" x14ac:dyDescent="0.35">
      <c r="B20" s="3" t="s">
        <v>114</v>
      </c>
      <c r="E20" s="76"/>
      <c r="F20" s="43"/>
      <c r="G20" s="43"/>
      <c r="H20" s="43"/>
      <c r="I20" s="44"/>
      <c r="J20" s="43"/>
      <c r="K20" s="43"/>
      <c r="L20" s="43"/>
      <c r="M20" s="43"/>
      <c r="N20" s="43"/>
    </row>
    <row r="21" spans="1:14" x14ac:dyDescent="0.35">
      <c r="B21" t="s">
        <v>115</v>
      </c>
      <c r="E21" s="76">
        <v>931.38</v>
      </c>
      <c r="F21" s="43">
        <v>805.44</v>
      </c>
      <c r="G21" s="43">
        <v>947.69</v>
      </c>
      <c r="H21" s="43">
        <v>1264.18</v>
      </c>
      <c r="I21" s="44">
        <v>1448.02</v>
      </c>
      <c r="J21" s="43"/>
      <c r="K21" s="43"/>
      <c r="L21" s="43"/>
      <c r="M21" s="43"/>
      <c r="N21" s="43"/>
    </row>
    <row r="22" spans="1:14" x14ac:dyDescent="0.35">
      <c r="B22" t="s">
        <v>116</v>
      </c>
      <c r="E22" s="76">
        <v>-18.11</v>
      </c>
      <c r="F22" s="43">
        <v>-76.38</v>
      </c>
      <c r="G22" s="43">
        <v>116.03</v>
      </c>
      <c r="H22" s="43">
        <v>83.86</v>
      </c>
      <c r="I22" s="44">
        <v>109.73</v>
      </c>
      <c r="J22" s="43"/>
      <c r="K22" s="43"/>
      <c r="L22" s="43"/>
      <c r="M22" s="43"/>
      <c r="N22" s="43"/>
    </row>
    <row r="23" spans="1:14" x14ac:dyDescent="0.35">
      <c r="B23" t="s">
        <v>117</v>
      </c>
      <c r="E23" s="78">
        <f>E21+E22</f>
        <v>913.27</v>
      </c>
      <c r="F23" s="45">
        <f>F21+F22</f>
        <v>729.06000000000006</v>
      </c>
      <c r="G23" s="45">
        <f>G21+G22</f>
        <v>1063.72</v>
      </c>
      <c r="H23" s="45">
        <f>H21+H22</f>
        <v>1348.04</v>
      </c>
      <c r="I23" s="46">
        <f>I21+I22</f>
        <v>1557.75</v>
      </c>
      <c r="J23" s="43">
        <f>Assumptions!J23</f>
        <v>1758.9699008152654</v>
      </c>
      <c r="K23" s="43">
        <f>Assumptions!K23</f>
        <v>2026.2473460595791</v>
      </c>
      <c r="L23" s="43">
        <f>Assumptions!L23</f>
        <v>2203.7064324806165</v>
      </c>
      <c r="M23" s="43">
        <f>Assumptions!M23</f>
        <v>2465.3230350708664</v>
      </c>
      <c r="N23" s="43">
        <f>Assumptions!N23</f>
        <v>2639.4727476695471</v>
      </c>
    </row>
    <row r="24" spans="1:14" x14ac:dyDescent="0.35">
      <c r="B24" t="s">
        <v>118</v>
      </c>
      <c r="E24" s="78">
        <f>E19-E23</f>
        <v>2936.05</v>
      </c>
      <c r="F24" s="45">
        <f>F19-F23</f>
        <v>2329.0500000000002</v>
      </c>
      <c r="G24" s="45">
        <f>G19-G23</f>
        <v>2799.8999999999996</v>
      </c>
      <c r="H24" s="45">
        <f>H19-H23</f>
        <v>3742.16</v>
      </c>
      <c r="I24" s="46">
        <f>I19-I23</f>
        <v>4375.8100000000004</v>
      </c>
      <c r="J24" s="45">
        <f t="shared" ref="J24:N24" si="9">J19-J23</f>
        <v>5229.388862852853</v>
      </c>
      <c r="K24" s="45">
        <f t="shared" si="9"/>
        <v>6024.0003538195597</v>
      </c>
      <c r="L24" s="45">
        <f t="shared" si="9"/>
        <v>6551.5833270768599</v>
      </c>
      <c r="M24" s="45">
        <f t="shared" si="9"/>
        <v>7329.3652250438199</v>
      </c>
      <c r="N24" s="45">
        <f t="shared" si="9"/>
        <v>7847.1094838344152</v>
      </c>
    </row>
    <row r="25" spans="1:14" x14ac:dyDescent="0.35">
      <c r="E25" s="76"/>
      <c r="F25" s="43"/>
      <c r="G25" s="43"/>
      <c r="H25" s="43"/>
      <c r="I25" s="44"/>
      <c r="J25" s="43"/>
      <c r="K25" s="43"/>
      <c r="L25" s="43"/>
      <c r="M25" s="43"/>
      <c r="N25" s="43"/>
    </row>
    <row r="26" spans="1:14" x14ac:dyDescent="0.35">
      <c r="B26" t="s">
        <v>187</v>
      </c>
      <c r="E26" s="43">
        <f t="shared" ref="E26:H26" si="10">E19+E13</f>
        <v>3895.73</v>
      </c>
      <c r="F26" s="43">
        <f t="shared" si="10"/>
        <v>3111.21</v>
      </c>
      <c r="G26" s="43">
        <f t="shared" si="10"/>
        <v>3968.5</v>
      </c>
      <c r="H26" s="43">
        <f t="shared" si="10"/>
        <v>5166.57</v>
      </c>
      <c r="I26" s="43">
        <f>I19+I13</f>
        <v>6004.21</v>
      </c>
      <c r="J26" s="43">
        <f>J19+J13</f>
        <v>7070.3087325285924</v>
      </c>
      <c r="K26" s="43">
        <f t="shared" ref="K26:N26" si="11">K19+K13</f>
        <v>8145.9282080153635</v>
      </c>
      <c r="L26" s="43">
        <f t="shared" si="11"/>
        <v>8867.2642811472997</v>
      </c>
      <c r="M26" s="43">
        <f t="shared" si="11"/>
        <v>9906.5725361890927</v>
      </c>
      <c r="N26" s="43">
        <f t="shared" si="11"/>
        <v>10607.81439443849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31BA-6CAB-497A-989B-DBBCB1D9C237}">
  <dimension ref="B2:I22"/>
  <sheetViews>
    <sheetView showGridLines="0" topLeftCell="B1" workbookViewId="0">
      <selection activeCell="C26" sqref="C26"/>
    </sheetView>
  </sheetViews>
  <sheetFormatPr defaultRowHeight="14.5" x14ac:dyDescent="0.35"/>
  <cols>
    <col min="1" max="1" width="1.81640625" customWidth="1"/>
    <col min="2" max="2" width="32.6328125" bestFit="1" customWidth="1"/>
    <col min="3" max="3" width="9.7265625" customWidth="1"/>
    <col min="5" max="5" width="12.81640625" customWidth="1"/>
    <col min="6" max="6" width="11.90625" customWidth="1"/>
    <col min="7" max="7" width="12.08984375" customWidth="1"/>
    <col min="8" max="8" width="13" customWidth="1"/>
    <col min="9" max="9" width="13.08984375" customWidth="1"/>
  </cols>
  <sheetData>
    <row r="2" spans="2:9" x14ac:dyDescent="0.35">
      <c r="B2" s="22" t="s">
        <v>46</v>
      </c>
      <c r="C2" s="19" t="s">
        <v>50</v>
      </c>
      <c r="D2" s="19"/>
      <c r="E2" s="75" t="s">
        <v>40</v>
      </c>
      <c r="F2" s="19" t="s">
        <v>39</v>
      </c>
      <c r="G2" s="19" t="s">
        <v>38</v>
      </c>
      <c r="H2" s="19" t="s">
        <v>37</v>
      </c>
      <c r="I2" s="19" t="s">
        <v>36</v>
      </c>
    </row>
    <row r="3" spans="2:9" x14ac:dyDescent="0.35">
      <c r="B3" s="35" t="s">
        <v>188</v>
      </c>
      <c r="E3" s="76">
        <f>'P&amp;L'!J24</f>
        <v>5229.388862852853</v>
      </c>
      <c r="F3" s="43">
        <f>'P&amp;L'!K24</f>
        <v>6024.0003538195597</v>
      </c>
      <c r="G3" s="43">
        <f>'P&amp;L'!L24</f>
        <v>6551.5833270768599</v>
      </c>
      <c r="H3" s="43">
        <f>'P&amp;L'!M24</f>
        <v>7329.3652250438199</v>
      </c>
      <c r="I3" s="43">
        <f>'P&amp;L'!N24</f>
        <v>7847.1094838344152</v>
      </c>
    </row>
    <row r="4" spans="2:9" x14ac:dyDescent="0.35">
      <c r="B4" s="36" t="s">
        <v>189</v>
      </c>
      <c r="E4" s="76">
        <f>'P&amp;L'!J13</f>
        <v>81.949968860473348</v>
      </c>
      <c r="F4" s="43">
        <f>'P&amp;L'!K13</f>
        <v>95.680508136224645</v>
      </c>
      <c r="G4" s="43">
        <f>'P&amp;L'!L13</f>
        <v>111.97452158982341</v>
      </c>
      <c r="H4" s="43">
        <f>'P&amp;L'!M13</f>
        <v>111.88427607440696</v>
      </c>
      <c r="I4" s="43">
        <f>'P&amp;L'!N13</f>
        <v>121.23216293452784</v>
      </c>
    </row>
    <row r="5" spans="2:9" x14ac:dyDescent="0.35">
      <c r="B5" s="36" t="s">
        <v>190</v>
      </c>
      <c r="E5" s="76">
        <f>'P&amp;L'!J14</f>
        <v>845.69631976358392</v>
      </c>
      <c r="F5" s="43">
        <f>'P&amp;L'!K14</f>
        <v>913.30015156630395</v>
      </c>
      <c r="G5" s="43">
        <f>'P&amp;L'!L14</f>
        <v>998.76172734135616</v>
      </c>
      <c r="H5" s="43">
        <f>'P&amp;L'!M14</f>
        <v>1094.7434900029882</v>
      </c>
      <c r="I5" s="43">
        <f>'P&amp;L'!N14</f>
        <v>1193.6247784466204</v>
      </c>
    </row>
    <row r="6" spans="2:9" x14ac:dyDescent="0.35">
      <c r="B6" s="36" t="s">
        <v>191</v>
      </c>
      <c r="E6" s="76">
        <f>-'Schedule Populated '!J102</f>
        <v>4188.1265484937758</v>
      </c>
      <c r="F6" s="43">
        <f>-'Schedule Populated '!K102</f>
        <v>-872.60735645136992</v>
      </c>
      <c r="G6" s="43">
        <f>-'Schedule Populated '!L102</f>
        <v>655.56166658210896</v>
      </c>
      <c r="H6" s="43">
        <f>-'Schedule Populated '!M102</f>
        <v>-488.67789390756479</v>
      </c>
      <c r="I6" s="43">
        <f>-'Schedule Populated '!N102</f>
        <v>-834.89110118503595</v>
      </c>
    </row>
    <row r="7" spans="2:9" x14ac:dyDescent="0.35">
      <c r="B7" s="37" t="s">
        <v>192</v>
      </c>
      <c r="E7" s="76">
        <f>SUM(E3:E6)</f>
        <v>10345.161699970686</v>
      </c>
      <c r="F7" s="43">
        <f t="shared" ref="F7:I7" si="0">SUM(F3:F6)</f>
        <v>6160.3736570707179</v>
      </c>
      <c r="G7" s="43">
        <f t="shared" si="0"/>
        <v>8317.8812425901488</v>
      </c>
      <c r="H7" s="43">
        <f t="shared" si="0"/>
        <v>8047.31509721365</v>
      </c>
      <c r="I7" s="43">
        <f t="shared" si="0"/>
        <v>8327.0753240305276</v>
      </c>
    </row>
    <row r="8" spans="2:9" x14ac:dyDescent="0.35">
      <c r="B8" s="36"/>
      <c r="E8" s="76"/>
      <c r="F8" s="43"/>
      <c r="G8" s="43"/>
      <c r="H8" s="43"/>
      <c r="I8" s="43"/>
    </row>
    <row r="9" spans="2:9" x14ac:dyDescent="0.35">
      <c r="B9" s="36" t="s">
        <v>193</v>
      </c>
      <c r="E9" s="76">
        <f>SUM('Balance Sheet '!I6,'Balance Sheet '!I9:I10,'Balance Sheet '!I12:I16,'Balance Sheet '!J43:J45)-SUM('Balance Sheet '!J6,'Balance Sheet '!J9:J10,'Balance Sheet '!J12:J16,'Balance Sheet '!I43:I45)</f>
        <v>154.56000000000131</v>
      </c>
      <c r="F9" s="43">
        <f>SUM('Balance Sheet '!J6,'Balance Sheet '!J9:J10,'Balance Sheet '!J12:J16,'Balance Sheet '!K43:K45)-SUM('Balance Sheet '!K6,'Balance Sheet '!K9:K10,'Balance Sheet '!K12:K16,'Balance Sheet '!J43:J45)</f>
        <v>17.971999999997934</v>
      </c>
      <c r="G9" s="43">
        <f>SUM('Balance Sheet '!K6,'Balance Sheet '!K9:K10,'Balance Sheet '!K12:K16,'Balance Sheet '!L43:L45)-SUM('Balance Sheet '!L6,'Balance Sheet '!L9:L10,'Balance Sheet '!L12:L16,'Balance Sheet '!K43:K45)</f>
        <v>-182.55919999999969</v>
      </c>
      <c r="H9" s="43">
        <f>SUM('Balance Sheet '!L6,'Balance Sheet '!L9:L10,'Balance Sheet '!L12:L16,'Balance Sheet '!M43:M45)-SUM('Balance Sheet '!M6,'Balance Sheet '!M9:M10,'Balance Sheet '!M12:M16,'Balance Sheet '!L43:L45)</f>
        <v>-44.269079999998212</v>
      </c>
      <c r="I9" s="43">
        <f>SUM('Balance Sheet '!M6,'Balance Sheet '!M9:M10,'Balance Sheet '!M12:M16,'Balance Sheet '!N43:N45)-SUM('Balance Sheet '!N6,'Balance Sheet '!N9:N10,'Balance Sheet '!N12:N16,'Balance Sheet '!M43:M45)</f>
        <v>62.278808000000936</v>
      </c>
    </row>
    <row r="10" spans="2:9" x14ac:dyDescent="0.35">
      <c r="B10" s="36" t="s">
        <v>194</v>
      </c>
      <c r="E10" s="76">
        <f>-'Schedule Populated '!J40</f>
        <v>-1484.2620000000004</v>
      </c>
      <c r="F10" s="43">
        <f>-'Schedule Populated '!K40</f>
        <v>-1522.253375574451</v>
      </c>
      <c r="G10" s="43">
        <f>-'Schedule Populated '!L40</f>
        <v>-1643.9402728193472</v>
      </c>
      <c r="H10" s="43">
        <f>-'Schedule Populated '!M40</f>
        <v>-1797.7711092144411</v>
      </c>
      <c r="I10" s="43">
        <f>-'Schedule Populated '!N40</f>
        <v>-1970.538282005379</v>
      </c>
    </row>
    <row r="11" spans="2:9" x14ac:dyDescent="0.35">
      <c r="B11" s="37" t="s">
        <v>195</v>
      </c>
      <c r="E11" s="76">
        <f>SUM(E9:E10)</f>
        <v>-1329.7019999999991</v>
      </c>
      <c r="F11" s="43">
        <f t="shared" ref="F11:I11" si="1">SUM(F9:F10)</f>
        <v>-1504.281375574453</v>
      </c>
      <c r="G11" s="43">
        <f t="shared" si="1"/>
        <v>-1826.4994728193469</v>
      </c>
      <c r="H11" s="43">
        <f t="shared" si="1"/>
        <v>-1842.0401892144394</v>
      </c>
      <c r="I11" s="43">
        <f t="shared" si="1"/>
        <v>-1908.259474005378</v>
      </c>
    </row>
    <row r="12" spans="2:9" x14ac:dyDescent="0.35">
      <c r="B12" s="36"/>
      <c r="E12" s="76"/>
      <c r="F12" s="43"/>
      <c r="G12" s="43"/>
      <c r="H12" s="43"/>
      <c r="I12" s="43"/>
    </row>
    <row r="13" spans="2:9" x14ac:dyDescent="0.35">
      <c r="B13" s="36" t="s">
        <v>196</v>
      </c>
      <c r="E13" s="76">
        <v>0</v>
      </c>
      <c r="F13" s="43">
        <v>0</v>
      </c>
      <c r="G13" s="43">
        <v>0</v>
      </c>
      <c r="H13" s="43">
        <v>0</v>
      </c>
      <c r="I13" s="43">
        <v>0</v>
      </c>
    </row>
    <row r="14" spans="2:9" x14ac:dyDescent="0.35">
      <c r="B14" s="36" t="s">
        <v>211</v>
      </c>
      <c r="E14" s="76">
        <f>Assumptions!J39-Assumptions!I39</f>
        <v>3.0949999999999989</v>
      </c>
      <c r="F14" s="43">
        <f>Assumptions!K39-Assumptions!J39</f>
        <v>-0.59600000000000364</v>
      </c>
      <c r="G14" s="43">
        <f>Assumptions!L39-Assumptions!K39</f>
        <v>-0.90990000000002169</v>
      </c>
      <c r="H14" s="43">
        <f>Assumptions!M39-Assumptions!L39</f>
        <v>0.46574000000001092</v>
      </c>
      <c r="I14" s="43">
        <f>Assumptions!N39-Assumptions!M39</f>
        <v>-0.19677399999997647</v>
      </c>
    </row>
    <row r="15" spans="2:9" x14ac:dyDescent="0.35">
      <c r="B15" s="36" t="s">
        <v>197</v>
      </c>
      <c r="E15" s="76">
        <f>'Schedule Populated '!J68+'Schedule Populated '!J73</f>
        <v>10.815000000000001</v>
      </c>
      <c r="F15" s="43">
        <f>'Schedule Populated '!K68+'Schedule Populated '!K73</f>
        <v>10.301025000000001</v>
      </c>
      <c r="G15" s="43">
        <f>'Schedule Populated '!L68+'Schedule Populated '!L73</f>
        <v>10.816076250000002</v>
      </c>
      <c r="H15" s="43">
        <f>'Schedule Populated '!M68+'Schedule Populated '!M73</f>
        <v>11.407105062500001</v>
      </c>
      <c r="I15" s="43">
        <f>'Schedule Populated '!N68+'Schedule Populated '!N73</f>
        <v>11.974949065625001</v>
      </c>
    </row>
    <row r="16" spans="2:9" x14ac:dyDescent="0.35">
      <c r="B16" s="36" t="s">
        <v>198</v>
      </c>
      <c r="E16" s="76">
        <f>-'Schedule Populated '!J61</f>
        <v>-81.949968860473348</v>
      </c>
      <c r="F16" s="43">
        <f>-'Schedule Populated '!K61</f>
        <v>-95.680508136224645</v>
      </c>
      <c r="G16" s="43">
        <f>-'Schedule Populated '!L61</f>
        <v>-111.97452158982341</v>
      </c>
      <c r="H16" s="43">
        <f>-'Schedule Populated '!M61</f>
        <v>-111.88427607440696</v>
      </c>
      <c r="I16" s="43">
        <f>-'Schedule Populated '!N61</f>
        <v>-121.23216293452784</v>
      </c>
    </row>
    <row r="17" spans="2:9" x14ac:dyDescent="0.35">
      <c r="B17" s="36" t="s">
        <v>199</v>
      </c>
      <c r="E17" s="76">
        <v>0</v>
      </c>
      <c r="F17" s="43">
        <v>0</v>
      </c>
      <c r="G17" s="43">
        <v>0</v>
      </c>
      <c r="H17" s="43">
        <v>0</v>
      </c>
      <c r="I17" s="43">
        <v>0</v>
      </c>
    </row>
    <row r="18" spans="2:9" x14ac:dyDescent="0.35">
      <c r="B18" s="37" t="s">
        <v>200</v>
      </c>
      <c r="E18" s="76">
        <f>SUM(E13:E17)</f>
        <v>-68.039968860473351</v>
      </c>
      <c r="F18" s="43">
        <f t="shared" ref="F18:I18" si="2">SUM(F13:F17)</f>
        <v>-85.975483136224653</v>
      </c>
      <c r="G18" s="43">
        <f t="shared" si="2"/>
        <v>-102.06834533982342</v>
      </c>
      <c r="H18" s="43">
        <f t="shared" si="2"/>
        <v>-100.01143101190695</v>
      </c>
      <c r="I18" s="43">
        <f t="shared" si="2"/>
        <v>-109.45398786890281</v>
      </c>
    </row>
    <row r="19" spans="2:9" x14ac:dyDescent="0.35">
      <c r="B19" s="36"/>
      <c r="E19" s="76"/>
      <c r="F19" s="43"/>
      <c r="G19" s="43"/>
      <c r="H19" s="43"/>
      <c r="I19" s="43"/>
    </row>
    <row r="20" spans="2:9" x14ac:dyDescent="0.35">
      <c r="B20" s="35" t="s">
        <v>201</v>
      </c>
      <c r="E20" s="76">
        <f>E18+E11+E7</f>
        <v>8947.4197311102125</v>
      </c>
      <c r="F20" s="43">
        <f t="shared" ref="F20:I20" si="3">F18+F11+F7</f>
        <v>4570.1167983600399</v>
      </c>
      <c r="G20" s="43">
        <f t="shared" si="3"/>
        <v>6389.3134244309786</v>
      </c>
      <c r="H20" s="43">
        <f t="shared" si="3"/>
        <v>6105.2634769873039</v>
      </c>
      <c r="I20" s="43">
        <f t="shared" si="3"/>
        <v>6309.3618621562464</v>
      </c>
    </row>
    <row r="21" spans="2:9" x14ac:dyDescent="0.35">
      <c r="B21" s="36" t="s">
        <v>202</v>
      </c>
      <c r="E21" s="76">
        <f>'Balance Sheet '!I24</f>
        <v>574.08000000000004</v>
      </c>
      <c r="F21" s="43">
        <f>'Balance Sheet '!J24</f>
        <v>9521.4997311102125</v>
      </c>
      <c r="G21" s="43">
        <f>'Balance Sheet '!K24</f>
        <v>14091.616529470251</v>
      </c>
      <c r="H21" s="43">
        <f>'Balance Sheet '!L24</f>
        <v>20480.929953901228</v>
      </c>
      <c r="I21" s="43">
        <f>'Balance Sheet '!M24</f>
        <v>26586.193430888532</v>
      </c>
    </row>
    <row r="22" spans="2:9" ht="15" thickBot="1" x14ac:dyDescent="0.4">
      <c r="B22" s="38" t="s">
        <v>203</v>
      </c>
      <c r="E22" s="76">
        <f>SUM(E20:E21)</f>
        <v>9521.4997311102125</v>
      </c>
      <c r="F22" s="43">
        <f t="shared" ref="F22:I22" si="4">SUM(F20:F21)</f>
        <v>14091.616529470251</v>
      </c>
      <c r="G22" s="43">
        <f t="shared" si="4"/>
        <v>20480.929953901228</v>
      </c>
      <c r="H22" s="43">
        <f t="shared" si="4"/>
        <v>26586.193430888532</v>
      </c>
      <c r="I22" s="43">
        <f t="shared" si="4"/>
        <v>32895.555293044781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E91B-3C49-49CB-8B7B-DDA17F00E940}">
  <dimension ref="B2:N60"/>
  <sheetViews>
    <sheetView showGridLines="0" topLeftCell="D1" workbookViewId="0">
      <selection activeCell="N4" sqref="N4"/>
    </sheetView>
  </sheetViews>
  <sheetFormatPr defaultRowHeight="14.5" x14ac:dyDescent="0.35"/>
  <cols>
    <col min="1" max="1" width="1.81640625" customWidth="1"/>
    <col min="2" max="2" width="40.81640625" customWidth="1"/>
    <col min="5" max="5" width="11.81640625" customWidth="1"/>
    <col min="6" max="6" width="12.90625" customWidth="1"/>
    <col min="7" max="7" width="12.54296875" customWidth="1"/>
    <col min="8" max="8" width="12.08984375" customWidth="1"/>
    <col min="9" max="10" width="10.7265625" bestFit="1" customWidth="1"/>
    <col min="11" max="11" width="12.08984375" bestFit="1" customWidth="1"/>
    <col min="12" max="12" width="11.6328125" bestFit="1" customWidth="1"/>
    <col min="13" max="14" width="10.7265625" bestFit="1" customWidth="1"/>
  </cols>
  <sheetData>
    <row r="2" spans="2:14" x14ac:dyDescent="0.35">
      <c r="B2" s="22" t="s">
        <v>175</v>
      </c>
      <c r="C2" s="19" t="s">
        <v>50</v>
      </c>
      <c r="D2" s="19"/>
      <c r="E2" s="19" t="s">
        <v>45</v>
      </c>
      <c r="F2" s="19" t="s">
        <v>44</v>
      </c>
      <c r="G2" s="19" t="s">
        <v>43</v>
      </c>
      <c r="H2" s="19" t="s">
        <v>42</v>
      </c>
      <c r="I2" s="40" t="s">
        <v>41</v>
      </c>
      <c r="J2" s="19" t="s">
        <v>40</v>
      </c>
      <c r="K2" s="19" t="s">
        <v>39</v>
      </c>
      <c r="L2" s="19" t="s">
        <v>38</v>
      </c>
      <c r="M2" s="19" t="s">
        <v>37</v>
      </c>
      <c r="N2" s="19" t="s">
        <v>36</v>
      </c>
    </row>
    <row r="3" spans="2:14" x14ac:dyDescent="0.35">
      <c r="I3" s="41"/>
    </row>
    <row r="4" spans="2:14" x14ac:dyDescent="0.35">
      <c r="B4" t="s">
        <v>176</v>
      </c>
      <c r="E4" s="43">
        <f>'P&amp;L'!E5</f>
        <v>30959.19</v>
      </c>
      <c r="F4" s="43">
        <f>'P&amp;L'!F5</f>
        <v>29551.279999999999</v>
      </c>
      <c r="G4" s="43">
        <f>'P&amp;L'!G5</f>
        <v>34158.379999999997</v>
      </c>
      <c r="H4" s="43">
        <f>'P&amp;L'!H5</f>
        <v>37788.620000000003</v>
      </c>
      <c r="I4" s="44">
        <f>'P&amp;L'!I5</f>
        <v>40923.42</v>
      </c>
      <c r="J4" s="43">
        <f>'P&amp;L'!J5</f>
        <v>47095.708288778587</v>
      </c>
      <c r="K4" s="43">
        <f>'P&amp;L'!K5</f>
        <v>52303.557516870067</v>
      </c>
      <c r="L4" s="43">
        <f>'P&amp;L'!L5</f>
        <v>57893.449615914811</v>
      </c>
      <c r="M4" s="43">
        <f>'P&amp;L'!M5</f>
        <v>63992.39631130363</v>
      </c>
      <c r="N4" s="43">
        <f>'P&amp;L'!N5</f>
        <v>70423.320395193645</v>
      </c>
    </row>
    <row r="5" spans="2:14" x14ac:dyDescent="0.35">
      <c r="B5" t="s">
        <v>177</v>
      </c>
      <c r="E5" s="43">
        <f>'P&amp;L'!E6</f>
        <v>557.9</v>
      </c>
      <c r="F5" s="43">
        <f>'P&amp;L'!F6</f>
        <v>555.01</v>
      </c>
      <c r="G5" s="43">
        <f>'P&amp;L'!G6</f>
        <v>569.01</v>
      </c>
      <c r="H5" s="43">
        <f>'P&amp;L'!H6</f>
        <v>854.54</v>
      </c>
      <c r="I5" s="44">
        <f>'P&amp;L'!I6</f>
        <v>1044.08</v>
      </c>
      <c r="J5" s="43">
        <f>J6*J4</f>
        <v>1412.8712486633576</v>
      </c>
      <c r="K5" s="43">
        <f t="shared" ref="K5:N5" si="0">K6*K4</f>
        <v>1569.1067255061021</v>
      </c>
      <c r="L5" s="43">
        <f t="shared" si="0"/>
        <v>1736.8034884774443</v>
      </c>
      <c r="M5" s="43">
        <f t="shared" si="0"/>
        <v>1919.7718893391088</v>
      </c>
      <c r="N5" s="43">
        <f t="shared" si="0"/>
        <v>2112.6996118558091</v>
      </c>
    </row>
    <row r="6" spans="2:14" x14ac:dyDescent="0.35">
      <c r="B6" t="s">
        <v>178</v>
      </c>
      <c r="E6" s="5">
        <f>E5/E4</f>
        <v>1.8020497306292575E-2</v>
      </c>
      <c r="F6" s="5">
        <f t="shared" ref="F6:I6" si="1">F5/F4</f>
        <v>1.8781250761388341E-2</v>
      </c>
      <c r="G6" s="5">
        <f t="shared" si="1"/>
        <v>1.6657991391863431E-2</v>
      </c>
      <c r="H6" s="5">
        <f t="shared" si="1"/>
        <v>2.2613686342607905E-2</v>
      </c>
      <c r="I6" s="42">
        <f t="shared" si="1"/>
        <v>2.5513019195365392E-2</v>
      </c>
      <c r="J6" s="5">
        <v>0.03</v>
      </c>
      <c r="K6" s="5">
        <v>0.03</v>
      </c>
      <c r="L6" s="5">
        <v>0.03</v>
      </c>
      <c r="M6" s="5">
        <v>0.03</v>
      </c>
      <c r="N6" s="5">
        <v>0.03</v>
      </c>
    </row>
    <row r="7" spans="2:14" x14ac:dyDescent="0.35">
      <c r="B7" t="s">
        <v>11</v>
      </c>
      <c r="E7" s="43">
        <f>E4+E5</f>
        <v>31517.09</v>
      </c>
      <c r="F7" s="43">
        <f t="shared" ref="F7:N7" si="2">F4+F5</f>
        <v>30106.289999999997</v>
      </c>
      <c r="G7" s="43">
        <f t="shared" si="2"/>
        <v>34727.39</v>
      </c>
      <c r="H7" s="43">
        <f t="shared" si="2"/>
        <v>38643.160000000003</v>
      </c>
      <c r="I7" s="44">
        <f t="shared" si="2"/>
        <v>41967.5</v>
      </c>
      <c r="J7" s="43">
        <f t="shared" si="2"/>
        <v>48508.579537441947</v>
      </c>
      <c r="K7" s="43">
        <f t="shared" si="2"/>
        <v>53872.664242376166</v>
      </c>
      <c r="L7" s="43">
        <f t="shared" si="2"/>
        <v>59630.253104392257</v>
      </c>
      <c r="M7" s="43">
        <f t="shared" si="2"/>
        <v>65912.168200642744</v>
      </c>
      <c r="N7" s="43">
        <f t="shared" si="2"/>
        <v>72536.020007049461</v>
      </c>
    </row>
    <row r="8" spans="2:14" x14ac:dyDescent="0.35">
      <c r="I8" s="41"/>
    </row>
    <row r="9" spans="2:14" x14ac:dyDescent="0.35">
      <c r="B9" s="22" t="s">
        <v>179</v>
      </c>
      <c r="C9" s="19" t="s">
        <v>50</v>
      </c>
      <c r="D9" s="19"/>
      <c r="E9" s="19" t="s">
        <v>45</v>
      </c>
      <c r="F9" s="19" t="s">
        <v>44</v>
      </c>
      <c r="G9" s="19" t="s">
        <v>43</v>
      </c>
      <c r="H9" s="19" t="s">
        <v>42</v>
      </c>
      <c r="I9" s="40" t="s">
        <v>41</v>
      </c>
      <c r="J9" s="19" t="s">
        <v>40</v>
      </c>
      <c r="K9" s="19" t="s">
        <v>39</v>
      </c>
      <c r="L9" s="19" t="s">
        <v>38</v>
      </c>
      <c r="M9" s="19" t="s">
        <v>37</v>
      </c>
      <c r="N9" s="19" t="s">
        <v>36</v>
      </c>
    </row>
    <row r="10" spans="2:14" x14ac:dyDescent="0.35">
      <c r="I10" s="41"/>
    </row>
    <row r="11" spans="2:14" x14ac:dyDescent="0.35">
      <c r="B11" s="34" t="s">
        <v>109</v>
      </c>
      <c r="E11" s="43">
        <f>'P&amp;L'!E9</f>
        <v>21968.04</v>
      </c>
      <c r="F11" s="43">
        <f>'P&amp;L'!F9</f>
        <v>20845.740000000002</v>
      </c>
      <c r="G11" s="43">
        <f>'P&amp;L'!G9</f>
        <v>24060.29</v>
      </c>
      <c r="H11" s="43">
        <f>'P&amp;L'!H9</f>
        <v>24836.89</v>
      </c>
      <c r="I11" s="44">
        <f>'P&amp;L'!I9</f>
        <v>26607.07</v>
      </c>
      <c r="J11" s="43">
        <f>J12*J4</f>
        <v>31491.028294858676</v>
      </c>
      <c r="K11" s="43">
        <f t="shared" ref="K11:N11" si="3">K12*K4</f>
        <v>34750.663080062062</v>
      </c>
      <c r="L11" s="43">
        <f t="shared" si="3"/>
        <v>38332.338891253501</v>
      </c>
      <c r="M11" s="43">
        <f t="shared" si="3"/>
        <v>42421.667497904833</v>
      </c>
      <c r="N11" s="43">
        <f t="shared" si="3"/>
        <v>46729.342451094082</v>
      </c>
    </row>
    <row r="12" spans="2:14" x14ac:dyDescent="0.35">
      <c r="B12" t="s">
        <v>181</v>
      </c>
      <c r="E12" s="5">
        <f>E11/E4</f>
        <v>0.70958058011207659</v>
      </c>
      <c r="F12" s="5">
        <f t="shared" ref="F12:I12" si="4">F11/F4</f>
        <v>0.70540903811949951</v>
      </c>
      <c r="G12" s="5">
        <f t="shared" si="4"/>
        <v>0.70437444632912927</v>
      </c>
      <c r="H12" s="5">
        <f t="shared" si="4"/>
        <v>0.65725845505869218</v>
      </c>
      <c r="I12" s="42">
        <f t="shared" si="4"/>
        <v>0.65016731250711701</v>
      </c>
      <c r="J12" s="5">
        <f>40%*I12+30%*H12+20%*G12+10%*F12</f>
        <v>0.66866025459823031</v>
      </c>
      <c r="K12" s="5">
        <f t="shared" ref="K12:N12" si="5">40%*J12+30%*I12+20%*H12+10%*G12</f>
        <v>0.66440343123607859</v>
      </c>
      <c r="L12" s="5">
        <f t="shared" si="5"/>
        <v>0.66211875688119315</v>
      </c>
      <c r="M12" s="5">
        <f t="shared" si="5"/>
        <v>0.66291731429365863</v>
      </c>
      <c r="N12" s="5">
        <f t="shared" si="5"/>
        <v>0.66354926448886009</v>
      </c>
    </row>
    <row r="13" spans="2:14" x14ac:dyDescent="0.35">
      <c r="B13" s="34" t="s">
        <v>110</v>
      </c>
      <c r="E13" s="43">
        <f>'P&amp;L'!E10</f>
        <v>31.14</v>
      </c>
      <c r="F13" s="43">
        <f>'P&amp;L'!F10</f>
        <v>45.95</v>
      </c>
      <c r="G13" s="43">
        <f>'P&amp;L'!G10</f>
        <v>47.43</v>
      </c>
      <c r="H13" s="43">
        <f>'P&amp;L'!H10</f>
        <v>484.2</v>
      </c>
      <c r="I13" s="44">
        <f>'P&amp;L'!I10</f>
        <v>547.91</v>
      </c>
      <c r="J13" s="43">
        <f>J14*J4</f>
        <v>617.00198893447077</v>
      </c>
      <c r="K13" s="43">
        <f t="shared" ref="K13:N13" si="6">K14*K4</f>
        <v>692.75250231605514</v>
      </c>
      <c r="L13" s="43">
        <f t="shared" si="6"/>
        <v>762.62660464500811</v>
      </c>
      <c r="M13" s="43">
        <f t="shared" si="6"/>
        <v>845.26849327258242</v>
      </c>
      <c r="N13" s="43">
        <f t="shared" si="6"/>
        <v>928.9478137382514</v>
      </c>
    </row>
    <row r="14" spans="2:14" x14ac:dyDescent="0.35">
      <c r="B14" t="s">
        <v>181</v>
      </c>
      <c r="E14" s="5">
        <f>E13/E4</f>
        <v>1.0058402690768073E-3</v>
      </c>
      <c r="F14" s="5">
        <f t="shared" ref="F14:I14" si="7">F13/F4</f>
        <v>1.5549241860251064E-3</v>
      </c>
      <c r="G14" s="5">
        <f t="shared" si="7"/>
        <v>1.3885318917349126E-3</v>
      </c>
      <c r="H14" s="5">
        <f t="shared" si="7"/>
        <v>1.2813381383072468E-2</v>
      </c>
      <c r="I14" s="42">
        <f t="shared" si="7"/>
        <v>1.3388665952161379E-2</v>
      </c>
      <c r="J14" s="5">
        <f>AVERAGE(H14:I14)</f>
        <v>1.3101023667616923E-2</v>
      </c>
      <c r="K14" s="5">
        <f t="shared" ref="K14:N14" si="8">AVERAGE(I14:J14)</f>
        <v>1.3244844809889151E-2</v>
      </c>
      <c r="L14" s="5">
        <f t="shared" si="8"/>
        <v>1.3172934238753037E-2</v>
      </c>
      <c r="M14" s="5">
        <f t="shared" si="8"/>
        <v>1.3208889524321095E-2</v>
      </c>
      <c r="N14" s="5">
        <f t="shared" si="8"/>
        <v>1.3190911881537065E-2</v>
      </c>
    </row>
    <row r="15" spans="2:14" ht="29" x14ac:dyDescent="0.35">
      <c r="B15" s="33" t="s">
        <v>111</v>
      </c>
      <c r="E15" s="43">
        <f>'P&amp;L'!E11</f>
        <v>-255.57</v>
      </c>
      <c r="F15" s="43">
        <f>'P&amp;L'!F11</f>
        <v>28.67</v>
      </c>
      <c r="G15" s="43">
        <f>'P&amp;L'!G11</f>
        <v>-163.69</v>
      </c>
      <c r="H15" s="43">
        <f>'P&amp;L'!H11</f>
        <v>188.35</v>
      </c>
      <c r="I15" s="44">
        <f>'P&amp;L'!I11</f>
        <v>-244.34</v>
      </c>
      <c r="J15" s="52">
        <f>J55</f>
        <v>3.261462346714552</v>
      </c>
      <c r="K15" s="52">
        <f t="shared" ref="K15:N15" si="9">K55</f>
        <v>-204.29838445320638</v>
      </c>
      <c r="L15" s="52">
        <f t="shared" si="9"/>
        <v>-15.795034991858302</v>
      </c>
      <c r="M15" s="52">
        <f t="shared" si="9"/>
        <v>-235.66620034002062</v>
      </c>
      <c r="N15" s="52">
        <f t="shared" si="9"/>
        <v>-29.01816683918014</v>
      </c>
    </row>
    <row r="16" spans="2:14" x14ac:dyDescent="0.35">
      <c r="B16" t="s">
        <v>94</v>
      </c>
      <c r="E16" s="43">
        <f>'P&amp;L'!E12</f>
        <v>1951.02</v>
      </c>
      <c r="F16" s="43">
        <f>'P&amp;L'!F12</f>
        <v>1995.78</v>
      </c>
      <c r="G16" s="43">
        <f>'P&amp;L'!G12</f>
        <v>2250.0500000000002</v>
      </c>
      <c r="H16" s="43">
        <f>'P&amp;L'!H12</f>
        <v>2471.5500000000002</v>
      </c>
      <c r="I16" s="44">
        <f>'P&amp;L'!I12</f>
        <v>2680.07</v>
      </c>
      <c r="J16" s="43">
        <f>J17*J4</f>
        <v>3083.0813982739783</v>
      </c>
      <c r="K16" s="43">
        <f>K17*K4</f>
        <v>3449.5861770819865</v>
      </c>
      <c r="L16" s="43">
        <f>L17*L4</f>
        <v>3799.9285688770574</v>
      </c>
      <c r="M16" s="43">
        <f>M17*M4</f>
        <v>4197.2412700456989</v>
      </c>
      <c r="N16" s="43">
        <f>N17*N4</f>
        <v>4621.6503060947744</v>
      </c>
    </row>
    <row r="17" spans="2:14" x14ac:dyDescent="0.35">
      <c r="B17" t="s">
        <v>181</v>
      </c>
      <c r="E17" s="5">
        <f>E16/E4</f>
        <v>6.3019090615742859E-2</v>
      </c>
      <c r="F17" s="5">
        <f>F16/F4</f>
        <v>6.7536160870189044E-2</v>
      </c>
      <c r="G17" s="5">
        <f>G16/G4</f>
        <v>6.5871098102427583E-2</v>
      </c>
      <c r="H17" s="5">
        <f>H16/H4</f>
        <v>6.5404611229518309E-2</v>
      </c>
      <c r="I17" s="42">
        <f>I16/I4</f>
        <v>6.5489883299098661E-2</v>
      </c>
      <c r="J17" s="5">
        <f>AVERAGE(E17:I17)</f>
        <v>6.5464168823395286E-2</v>
      </c>
      <c r="K17" s="5">
        <f t="shared" ref="K17:N17" si="10">AVERAGE(F17:J17)</f>
        <v>6.5953184464925776E-2</v>
      </c>
      <c r="L17" s="5">
        <f t="shared" si="10"/>
        <v>6.563658918387312E-2</v>
      </c>
      <c r="M17" s="5">
        <f t="shared" si="10"/>
        <v>6.5589687400162217E-2</v>
      </c>
      <c r="N17" s="5">
        <f t="shared" si="10"/>
        <v>6.5626702634291004E-2</v>
      </c>
    </row>
    <row r="18" spans="2:14" x14ac:dyDescent="0.35">
      <c r="B18" t="s">
        <v>97</v>
      </c>
      <c r="E18" s="43">
        <f>'P&amp;L'!E15</f>
        <v>3165.05</v>
      </c>
      <c r="F18" s="43">
        <f>'P&amp;L'!F15</f>
        <v>3190.37</v>
      </c>
      <c r="G18" s="43">
        <f>'P&amp;L'!G15</f>
        <v>3870.53</v>
      </c>
      <c r="H18" s="43">
        <f>'P&amp;L'!H15</f>
        <v>4458</v>
      </c>
      <c r="I18" s="44">
        <f>'P&amp;L'!I15</f>
        <v>5386.87</v>
      </c>
      <c r="J18" s="43">
        <f>J19*J4</f>
        <v>5398.2013407359345</v>
      </c>
      <c r="K18" s="43">
        <f>K19*K4</f>
        <v>6124.7325077876048</v>
      </c>
      <c r="L18" s="43">
        <f>L19*L4</f>
        <v>6885.1280661198953</v>
      </c>
      <c r="M18" s="43">
        <f>M19*M4</f>
        <v>7682.3411135675633</v>
      </c>
      <c r="N18" s="43">
        <f>N19*N4</f>
        <v>8483.658430076428</v>
      </c>
    </row>
    <row r="19" spans="2:14" x14ac:dyDescent="0.35">
      <c r="B19" t="s">
        <v>181</v>
      </c>
      <c r="E19" s="5">
        <f>E18/E4</f>
        <v>0.10223297185746785</v>
      </c>
      <c r="F19" s="5">
        <f>F18/F4</f>
        <v>0.10796046736385023</v>
      </c>
      <c r="G19" s="5">
        <f>G18/G4</f>
        <v>0.11331128701068377</v>
      </c>
      <c r="H19" s="5">
        <f>H18/H4</f>
        <v>0.11797202438194355</v>
      </c>
      <c r="I19" s="42">
        <f>I18/I4</f>
        <v>0.13163293781409277</v>
      </c>
      <c r="J19" s="5">
        <f>AVERAGE(E19:I19)</f>
        <v>0.11462193768560765</v>
      </c>
      <c r="K19" s="5">
        <f t="shared" ref="K19:N19" si="11">AVERAGE(F19:J19)</f>
        <v>0.11709973085123559</v>
      </c>
      <c r="L19" s="5">
        <f t="shared" si="11"/>
        <v>0.11892758354871265</v>
      </c>
      <c r="M19" s="5">
        <f t="shared" si="11"/>
        <v>0.12005084285631844</v>
      </c>
      <c r="N19" s="5">
        <f t="shared" si="11"/>
        <v>0.12046660655119341</v>
      </c>
    </row>
    <row r="20" spans="2:14" x14ac:dyDescent="0.35">
      <c r="B20" t="s">
        <v>112</v>
      </c>
      <c r="E20" s="43">
        <f>'P&amp;L'!E18</f>
        <v>0</v>
      </c>
      <c r="F20" s="43">
        <f>'P&amp;L'!F18</f>
        <v>0</v>
      </c>
      <c r="G20" s="43">
        <f>'P&amp;L'!G18</f>
        <v>0</v>
      </c>
      <c r="H20" s="43">
        <f>'P&amp;L'!H18</f>
        <v>159.99</v>
      </c>
      <c r="I20" s="44">
        <f>'P&amp;L'!I18</f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</row>
    <row r="21" spans="2:14" x14ac:dyDescent="0.35">
      <c r="B21" t="s">
        <v>113</v>
      </c>
      <c r="E21" s="43">
        <f>'P&amp;L'!E19</f>
        <v>3849.32</v>
      </c>
      <c r="F21" s="43">
        <f>'P&amp;L'!F19</f>
        <v>3058.11</v>
      </c>
      <c r="G21" s="43">
        <f>'P&amp;L'!G19</f>
        <v>3863.62</v>
      </c>
      <c r="H21" s="43">
        <f>'P&amp;L'!H19</f>
        <v>5090.2</v>
      </c>
      <c r="I21" s="44">
        <f>'P&amp;L'!I19</f>
        <v>5933.56</v>
      </c>
      <c r="J21" s="43">
        <f>'P&amp;L'!J19</f>
        <v>6988.3587636681186</v>
      </c>
      <c r="K21" s="43">
        <f>'P&amp;L'!K19</f>
        <v>8050.247699879139</v>
      </c>
      <c r="L21" s="43">
        <f>'P&amp;L'!L19</f>
        <v>8755.2897595574759</v>
      </c>
      <c r="M21" s="43">
        <f>'P&amp;L'!M19</f>
        <v>9794.6882601146863</v>
      </c>
      <c r="N21" s="43">
        <f>'P&amp;L'!N19</f>
        <v>10486.582231503962</v>
      </c>
    </row>
    <row r="22" spans="2:14" x14ac:dyDescent="0.35">
      <c r="B22" t="s">
        <v>182</v>
      </c>
      <c r="E22" s="43"/>
      <c r="F22" s="43"/>
      <c r="G22" s="43"/>
      <c r="H22" s="43"/>
      <c r="I22" s="44"/>
      <c r="J22" s="55">
        <v>0.25169999999999998</v>
      </c>
      <c r="K22" s="55">
        <v>0.25169999999999998</v>
      </c>
      <c r="L22" s="55">
        <v>0.25169999999999998</v>
      </c>
      <c r="M22" s="55">
        <v>0.25169999999999998</v>
      </c>
      <c r="N22" s="55">
        <v>0.25169999999999998</v>
      </c>
    </row>
    <row r="23" spans="2:14" x14ac:dyDescent="0.35">
      <c r="B23" t="s">
        <v>186</v>
      </c>
      <c r="E23" s="43"/>
      <c r="F23" s="43"/>
      <c r="G23" s="43"/>
      <c r="H23" s="43"/>
      <c r="I23" s="44"/>
      <c r="J23" s="43">
        <f>J22*J21</f>
        <v>1758.9699008152654</v>
      </c>
      <c r="K23" s="43">
        <f t="shared" ref="K23:N23" si="12">K22*K21</f>
        <v>2026.2473460595791</v>
      </c>
      <c r="L23" s="43">
        <f t="shared" si="12"/>
        <v>2203.7064324806165</v>
      </c>
      <c r="M23" s="43">
        <f t="shared" si="12"/>
        <v>2465.3230350708664</v>
      </c>
      <c r="N23" s="43">
        <f t="shared" si="12"/>
        <v>2639.4727476695471</v>
      </c>
    </row>
    <row r="24" spans="2:14" x14ac:dyDescent="0.35">
      <c r="E24" s="43"/>
      <c r="F24" s="43"/>
      <c r="G24" s="43"/>
      <c r="H24" s="43"/>
      <c r="I24" s="44"/>
      <c r="J24" s="43"/>
      <c r="K24" s="43"/>
      <c r="L24" s="43"/>
      <c r="M24" s="43"/>
      <c r="N24" s="43"/>
    </row>
    <row r="25" spans="2:14" x14ac:dyDescent="0.35">
      <c r="B25" s="22" t="s">
        <v>183</v>
      </c>
      <c r="C25" s="19" t="s">
        <v>50</v>
      </c>
      <c r="D25" s="19"/>
      <c r="E25" s="53" t="s">
        <v>45</v>
      </c>
      <c r="F25" s="53" t="s">
        <v>44</v>
      </c>
      <c r="G25" s="53" t="s">
        <v>43</v>
      </c>
      <c r="H25" s="53" t="s">
        <v>42</v>
      </c>
      <c r="I25" s="54" t="s">
        <v>41</v>
      </c>
      <c r="J25" s="53" t="s">
        <v>40</v>
      </c>
      <c r="K25" s="53" t="s">
        <v>39</v>
      </c>
      <c r="L25" s="53" t="s">
        <v>38</v>
      </c>
      <c r="M25" s="53" t="s">
        <v>37</v>
      </c>
      <c r="N25" s="53" t="s">
        <v>36</v>
      </c>
    </row>
    <row r="26" spans="2:14" x14ac:dyDescent="0.35">
      <c r="E26" s="43"/>
      <c r="F26" s="43"/>
      <c r="G26" s="43"/>
      <c r="H26" s="43"/>
      <c r="I26" s="44"/>
      <c r="J26" s="43"/>
      <c r="K26" s="43"/>
      <c r="L26" s="43"/>
      <c r="M26" s="43"/>
      <c r="N26" s="43"/>
    </row>
    <row r="27" spans="2:14" x14ac:dyDescent="0.35">
      <c r="B27" t="s">
        <v>126</v>
      </c>
      <c r="E27" s="43">
        <f>'Balance Sheet '!E6</f>
        <v>236.4</v>
      </c>
      <c r="F27" s="43">
        <f>'Balance Sheet '!F6</f>
        <v>149.13</v>
      </c>
      <c r="G27" s="43">
        <f>'Balance Sheet '!G6</f>
        <v>122.09</v>
      </c>
      <c r="H27" s="43">
        <f>'Balance Sheet '!H6</f>
        <v>127.16</v>
      </c>
      <c r="I27" s="44">
        <f>'Balance Sheet '!I6</f>
        <v>105.37</v>
      </c>
      <c r="J27" s="43">
        <f>I27*40%+H27*30%+G27*10%+F27*10%+E27*10%</f>
        <v>131.05799999999999</v>
      </c>
      <c r="K27" s="43">
        <f t="shared" ref="K27:N27" si="13">J27*40%+I27*30%+H27*10%+G27*10%+F27*10%</f>
        <v>123.87220000000001</v>
      </c>
      <c r="L27" s="43">
        <f t="shared" si="13"/>
        <v>124.32828000000001</v>
      </c>
      <c r="M27" s="43">
        <f t="shared" si="13"/>
        <v>123.25177200000002</v>
      </c>
      <c r="N27" s="43">
        <f t="shared" si="13"/>
        <v>122.62921280000002</v>
      </c>
    </row>
    <row r="28" spans="2:14" x14ac:dyDescent="0.35">
      <c r="B28" t="s">
        <v>100</v>
      </c>
      <c r="E28" s="43">
        <f>'Balance Sheet '!E9</f>
        <v>258.73</v>
      </c>
      <c r="F28" s="43">
        <f>'Balance Sheet '!F9</f>
        <v>368.09</v>
      </c>
      <c r="G28" s="43">
        <f>'Balance Sheet '!G9</f>
        <v>331.62</v>
      </c>
      <c r="H28" s="43">
        <f>'Balance Sheet '!H9</f>
        <v>356.9</v>
      </c>
      <c r="I28" s="44">
        <f>'Balance Sheet '!I9</f>
        <v>381.81</v>
      </c>
      <c r="J28" s="43">
        <f t="shared" ref="J28:J29" si="14">I28*40%+H28*30%+G28*10%+F28*10%+E28*10%</f>
        <v>355.63799999999998</v>
      </c>
      <c r="K28" s="43">
        <f t="shared" ref="K28:K29" si="15">J28*40%+I28*30%+H28*10%+G28*10%+F28*10%</f>
        <v>362.45920000000001</v>
      </c>
      <c r="L28" s="43">
        <f t="shared" ref="L28:L29" si="16">K28*40%+J28*30%+I28*10%+H28*10%+G28*10%</f>
        <v>358.70808</v>
      </c>
      <c r="M28" s="43">
        <f t="shared" ref="M28:M29" si="17">L28*40%+K28*30%+J28*10%+I28*10%+H28*10%</f>
        <v>361.65579200000002</v>
      </c>
      <c r="N28" s="43">
        <f t="shared" ref="N28:N29" si="18">M28*40%+L28*30%+K28*10%+J28*10%+I28*10%</f>
        <v>362.26546080000003</v>
      </c>
    </row>
    <row r="29" spans="2:14" x14ac:dyDescent="0.35">
      <c r="B29" t="s">
        <v>101</v>
      </c>
      <c r="E29" s="43">
        <f>'Balance Sheet '!E10</f>
        <v>2407.69</v>
      </c>
      <c r="F29" s="43">
        <f>'Balance Sheet '!F10</f>
        <v>2202.5100000000002</v>
      </c>
      <c r="G29" s="43">
        <f>'Balance Sheet '!G10</f>
        <v>2618.6999999999998</v>
      </c>
      <c r="H29" s="43">
        <f>'Balance Sheet '!H10</f>
        <v>3083.59</v>
      </c>
      <c r="I29" s="44">
        <f>'Balance Sheet '!I10</f>
        <v>2980.94</v>
      </c>
      <c r="J29" s="43">
        <f t="shared" si="14"/>
        <v>2840.3429999999998</v>
      </c>
      <c r="K29" s="43">
        <f t="shared" si="15"/>
        <v>2820.8991999999998</v>
      </c>
      <c r="L29" s="43">
        <f t="shared" si="16"/>
        <v>2848.7855799999998</v>
      </c>
      <c r="M29" s="43">
        <f t="shared" si="17"/>
        <v>2876.2712919999999</v>
      </c>
      <c r="N29" s="43">
        <f t="shared" si="18"/>
        <v>2869.3624107999999</v>
      </c>
    </row>
    <row r="30" spans="2:14" x14ac:dyDescent="0.35">
      <c r="B30" s="3" t="s">
        <v>56</v>
      </c>
      <c r="E30" s="43"/>
      <c r="F30" s="43"/>
      <c r="G30" s="43"/>
      <c r="H30" s="43"/>
      <c r="I30" s="44"/>
      <c r="J30" s="43"/>
      <c r="K30" s="43"/>
      <c r="L30" s="43"/>
      <c r="M30" s="43"/>
      <c r="N30" s="43"/>
    </row>
    <row r="31" spans="2:14" x14ac:dyDescent="0.35">
      <c r="B31" s="12" t="s">
        <v>57</v>
      </c>
      <c r="E31" s="43">
        <f>'Balance Sheet '!E12</f>
        <v>1948.59</v>
      </c>
      <c r="F31" s="43">
        <f>'Balance Sheet '!F12</f>
        <v>2455.0500000000002</v>
      </c>
      <c r="G31" s="43">
        <f>'Balance Sheet '!G12</f>
        <v>4600.38</v>
      </c>
      <c r="H31" s="43">
        <f>'Balance Sheet '!H12</f>
        <v>5362.57</v>
      </c>
      <c r="I31" s="44">
        <f>'Balance Sheet '!I12</f>
        <v>4767.33</v>
      </c>
      <c r="J31" s="43">
        <f t="shared" ref="J31:J35" si="19">I31*40%+H31*30%+G31*10%+F31*10%+E31*10%</f>
        <v>4416.1050000000005</v>
      </c>
      <c r="K31" s="43">
        <f t="shared" ref="K31:K35" si="20">J31*40%+I31*30%+H31*10%+G31*10%+F31*10%</f>
        <v>4438.4409999999998</v>
      </c>
      <c r="L31" s="43">
        <f t="shared" ref="L31:L35" si="21">K31*40%+J31*30%+I31*10%+H31*10%+G31*10%</f>
        <v>4573.2358999999997</v>
      </c>
      <c r="M31" s="43">
        <f t="shared" ref="M31:M35" si="22">L31*40%+K31*30%+J31*10%+I31*10%+H31*10%</f>
        <v>4615.4271600000002</v>
      </c>
      <c r="N31" s="43">
        <f t="shared" ref="N31:N35" si="23">M31*40%+L31*30%+K31*10%+J31*10%+I31*10%</f>
        <v>4580.3292339999998</v>
      </c>
    </row>
    <row r="32" spans="2:14" x14ac:dyDescent="0.35">
      <c r="B32" s="12" t="s">
        <v>102</v>
      </c>
      <c r="E32" s="43">
        <f>'Balance Sheet '!E13</f>
        <v>16.73</v>
      </c>
      <c r="F32" s="43">
        <f>'Balance Sheet '!F13</f>
        <v>17.43</v>
      </c>
      <c r="G32" s="43">
        <f>'Balance Sheet '!G13</f>
        <v>19.87</v>
      </c>
      <c r="H32" s="43">
        <f>'Balance Sheet '!H13</f>
        <v>21.15</v>
      </c>
      <c r="I32" s="44">
        <f>'Balance Sheet '!I13</f>
        <v>24.87</v>
      </c>
      <c r="J32" s="43">
        <f t="shared" si="19"/>
        <v>21.695999999999998</v>
      </c>
      <c r="K32" s="43">
        <f t="shared" si="20"/>
        <v>21.984399999999997</v>
      </c>
      <c r="L32" s="43">
        <f t="shared" si="21"/>
        <v>21.891559999999998</v>
      </c>
      <c r="M32" s="43">
        <f t="shared" si="22"/>
        <v>22.123543999999999</v>
      </c>
      <c r="N32" s="43">
        <f t="shared" si="23"/>
        <v>22.271925599999996</v>
      </c>
    </row>
    <row r="33" spans="2:14" x14ac:dyDescent="0.35">
      <c r="B33" s="12" t="s">
        <v>103</v>
      </c>
      <c r="E33" s="43">
        <f>'Balance Sheet '!E14</f>
        <v>35.909999999999997</v>
      </c>
      <c r="F33" s="43">
        <f>'Balance Sheet '!F14</f>
        <v>42.01</v>
      </c>
      <c r="G33" s="43">
        <f>'Balance Sheet '!G14</f>
        <v>206.09</v>
      </c>
      <c r="H33" s="43">
        <f>'Balance Sheet '!H14</f>
        <v>189.44</v>
      </c>
      <c r="I33" s="44">
        <f>'Balance Sheet '!I14</f>
        <v>47.09</v>
      </c>
      <c r="J33" s="43">
        <f t="shared" si="19"/>
        <v>104.069</v>
      </c>
      <c r="K33" s="43">
        <f t="shared" si="20"/>
        <v>99.508600000000001</v>
      </c>
      <c r="L33" s="43">
        <f t="shared" si="21"/>
        <v>115.28614000000002</v>
      </c>
      <c r="M33" s="43">
        <f t="shared" si="22"/>
        <v>110.02693600000002</v>
      </c>
      <c r="N33" s="43">
        <f t="shared" si="23"/>
        <v>103.66337640000003</v>
      </c>
    </row>
    <row r="34" spans="2:14" x14ac:dyDescent="0.35">
      <c r="B34" s="12" t="s">
        <v>104</v>
      </c>
      <c r="E34" s="43">
        <f>'Balance Sheet '!E15</f>
        <v>378.49</v>
      </c>
      <c r="F34" s="43">
        <f>'Balance Sheet '!F15</f>
        <v>358.07</v>
      </c>
      <c r="G34" s="43">
        <f>'Balance Sheet '!G15</f>
        <v>270.69</v>
      </c>
      <c r="H34" s="43">
        <f>'Balance Sheet '!H15</f>
        <v>335.68</v>
      </c>
      <c r="I34" s="44">
        <f>'Balance Sheet '!I15</f>
        <v>254.49</v>
      </c>
      <c r="J34" s="43">
        <f t="shared" si="19"/>
        <v>303.22500000000002</v>
      </c>
      <c r="K34" s="43">
        <f t="shared" si="20"/>
        <v>294.08100000000002</v>
      </c>
      <c r="L34" s="43">
        <f t="shared" si="21"/>
        <v>294.68590000000006</v>
      </c>
      <c r="M34" s="43">
        <f t="shared" si="22"/>
        <v>295.43816000000004</v>
      </c>
      <c r="N34" s="43">
        <f t="shared" si="23"/>
        <v>291.76063400000004</v>
      </c>
    </row>
    <row r="35" spans="2:14" x14ac:dyDescent="0.35">
      <c r="B35" t="s">
        <v>58</v>
      </c>
      <c r="E35" s="43">
        <f>'Balance Sheet '!E16</f>
        <v>62.68</v>
      </c>
      <c r="F35" s="43">
        <f>'Balance Sheet '!F16</f>
        <v>120.34</v>
      </c>
      <c r="G35" s="43">
        <f>'Balance Sheet '!G16</f>
        <v>153.06</v>
      </c>
      <c r="H35" s="43">
        <f>'Balance Sheet '!H16</f>
        <v>128.65</v>
      </c>
      <c r="I35" s="44">
        <f>'Balance Sheet '!I16</f>
        <v>111.55</v>
      </c>
      <c r="J35" s="43">
        <f t="shared" si="19"/>
        <v>116.82300000000001</v>
      </c>
      <c r="K35" s="43">
        <f t="shared" si="20"/>
        <v>120.39920000000001</v>
      </c>
      <c r="L35" s="43">
        <f t="shared" si="21"/>
        <v>122.53258000000001</v>
      </c>
      <c r="M35" s="43">
        <f t="shared" si="22"/>
        <v>120.835092</v>
      </c>
      <c r="N35" s="43">
        <f t="shared" si="23"/>
        <v>119.97103079999999</v>
      </c>
    </row>
    <row r="36" spans="2:14" x14ac:dyDescent="0.35">
      <c r="B36" s="3" t="s">
        <v>68</v>
      </c>
      <c r="E36" s="43"/>
      <c r="F36" s="43"/>
      <c r="G36" s="43"/>
      <c r="H36" s="43"/>
      <c r="I36" s="44"/>
      <c r="J36" s="43"/>
      <c r="K36" s="43"/>
      <c r="L36" s="43"/>
      <c r="M36" s="43"/>
      <c r="N36" s="43"/>
    </row>
    <row r="37" spans="2:14" x14ac:dyDescent="0.35">
      <c r="B37" t="s">
        <v>69</v>
      </c>
      <c r="E37" s="43">
        <f>'Balance Sheet '!E34</f>
        <v>39.96</v>
      </c>
      <c r="F37" s="43">
        <f>'Balance Sheet '!F34</f>
        <v>39.96</v>
      </c>
      <c r="G37" s="43">
        <f>'Balance Sheet '!G34</f>
        <v>39.97</v>
      </c>
      <c r="H37" s="43">
        <f>'Balance Sheet '!H34</f>
        <v>39.979999999999997</v>
      </c>
      <c r="I37" s="44">
        <f>'Balance Sheet '!I34</f>
        <v>40</v>
      </c>
      <c r="J37" s="43">
        <v>40</v>
      </c>
      <c r="K37" s="43">
        <v>40</v>
      </c>
      <c r="L37" s="43">
        <v>40</v>
      </c>
      <c r="M37" s="43">
        <v>40</v>
      </c>
      <c r="N37" s="43">
        <v>40</v>
      </c>
    </row>
    <row r="38" spans="2:14" x14ac:dyDescent="0.35">
      <c r="B38" t="s">
        <v>70</v>
      </c>
      <c r="E38" s="43">
        <f>'Balance Sheet '!E35</f>
        <v>15376.46</v>
      </c>
      <c r="F38" s="43">
        <f>'Balance Sheet '!F35</f>
        <v>15806.69</v>
      </c>
      <c r="G38" s="43">
        <f>'Balance Sheet '!G35</f>
        <v>16615.599999999999</v>
      </c>
      <c r="H38" s="43">
        <f>'Balance Sheet '!H35</f>
        <v>17658.939999999999</v>
      </c>
      <c r="I38" s="44">
        <f>'Balance Sheet '!I35</f>
        <v>19232.04</v>
      </c>
      <c r="J38" s="43">
        <f>I38+'P&amp;L'!J24</f>
        <v>24461.428862852852</v>
      </c>
      <c r="K38" s="43">
        <f>J38+'P&amp;L'!K24</f>
        <v>30485.429216672412</v>
      </c>
      <c r="L38" s="43">
        <f>K38+'P&amp;L'!L24</f>
        <v>37037.012543749268</v>
      </c>
      <c r="M38" s="43">
        <f>L38+'P&amp;L'!M24</f>
        <v>44366.377768793085</v>
      </c>
      <c r="N38" s="43">
        <f>M38+'P&amp;L'!N24</f>
        <v>52213.487252627499</v>
      </c>
    </row>
    <row r="39" spans="2:14" x14ac:dyDescent="0.35">
      <c r="B39" t="s">
        <v>71</v>
      </c>
      <c r="E39" s="43">
        <f>'Balance Sheet '!E36</f>
        <v>143.19</v>
      </c>
      <c r="F39" s="43">
        <f>'Balance Sheet '!F36</f>
        <v>148.05000000000001</v>
      </c>
      <c r="G39" s="43">
        <f>'Balance Sheet '!G36</f>
        <v>125.06</v>
      </c>
      <c r="H39" s="43">
        <f>'Balance Sheet '!H36</f>
        <v>135.65</v>
      </c>
      <c r="I39" s="44">
        <f>'Balance Sheet '!I36</f>
        <v>132.05000000000001</v>
      </c>
      <c r="J39" s="43">
        <f>I39*40%+H39*30%+G39*10%+F39*10%+E39*10%</f>
        <v>135.14500000000001</v>
      </c>
      <c r="K39" s="43">
        <f t="shared" ref="K39:N39" si="24">J39*40%+I39*30%+H39*10%+G39*10%+F39*10%</f>
        <v>134.54900000000001</v>
      </c>
      <c r="L39" s="43">
        <f t="shared" si="24"/>
        <v>133.63909999999998</v>
      </c>
      <c r="M39" s="43">
        <f t="shared" si="24"/>
        <v>134.10484</v>
      </c>
      <c r="N39" s="43">
        <f t="shared" si="24"/>
        <v>133.90806600000002</v>
      </c>
    </row>
    <row r="40" spans="2:14" x14ac:dyDescent="0.35">
      <c r="E40" s="43"/>
      <c r="F40" s="43"/>
      <c r="G40" s="43"/>
      <c r="H40" s="43"/>
      <c r="I40" s="44"/>
      <c r="J40" s="43"/>
      <c r="K40" s="43"/>
      <c r="L40" s="43"/>
      <c r="M40" s="43"/>
      <c r="N40" s="43"/>
    </row>
    <row r="41" spans="2:14" x14ac:dyDescent="0.35">
      <c r="B41" t="s">
        <v>184</v>
      </c>
      <c r="E41" s="43">
        <f>'Balance Sheet '!E43</f>
        <v>146.04</v>
      </c>
      <c r="F41" s="43">
        <f>'Balance Sheet '!F43</f>
        <v>155.04</v>
      </c>
      <c r="G41" s="43">
        <f>'Balance Sheet '!G43</f>
        <v>196.29</v>
      </c>
      <c r="H41" s="43">
        <f>'Balance Sheet '!H43</f>
        <v>178.13</v>
      </c>
      <c r="I41" s="44">
        <f>'Balance Sheet '!I43</f>
        <v>143.83000000000001</v>
      </c>
      <c r="J41" s="43">
        <f t="shared" ref="J41" si="25">I41*40%+H41*30%+G41*10%+F41*10%+E41*10%</f>
        <v>160.70799999999997</v>
      </c>
      <c r="K41" s="43">
        <f t="shared" ref="K41" si="26">J41*40%+I41*30%+H41*10%+G41*10%+F41*10%</f>
        <v>160.37819999999999</v>
      </c>
      <c r="L41" s="43">
        <f t="shared" ref="L41" si="27">K41*40%+J41*30%+I41*10%+H41*10%+G41*10%</f>
        <v>164.18867999999998</v>
      </c>
      <c r="M41" s="43">
        <f t="shared" ref="M41" si="28">L41*40%+K41*30%+J41*10%+I41*10%+H41*10%</f>
        <v>162.05573199999998</v>
      </c>
      <c r="N41" s="43">
        <f t="shared" ref="N41" si="29">M41*40%+L41*30%+K41*10%+J41*10%+I41*10%</f>
        <v>160.57051680000001</v>
      </c>
    </row>
    <row r="42" spans="2:14" x14ac:dyDescent="0.35">
      <c r="B42" t="s">
        <v>79</v>
      </c>
      <c r="E42" s="43">
        <f>'Balance Sheet '!E44</f>
        <v>175.57</v>
      </c>
      <c r="F42" s="43">
        <f>'Balance Sheet '!F44</f>
        <v>181.13</v>
      </c>
      <c r="G42" s="43">
        <f>'Balance Sheet '!G44</f>
        <v>201.94</v>
      </c>
      <c r="H42" s="43">
        <f>'Balance Sheet '!H44</f>
        <v>322.45999999999998</v>
      </c>
      <c r="I42" s="44">
        <f>'Balance Sheet '!I44</f>
        <v>495.29</v>
      </c>
      <c r="J42" s="43">
        <f t="shared" ref="J42:J43" si="30">I42*40%+H42*30%+G42*10%+F42*10%+E42*10%</f>
        <v>350.71800000000002</v>
      </c>
      <c r="K42" s="43">
        <f t="shared" ref="K42:K43" si="31">J42*40%+I42*30%+H42*10%+G42*10%+F42*10%</f>
        <v>359.42719999999997</v>
      </c>
      <c r="L42" s="43">
        <f t="shared" ref="L42:L43" si="32">K42*40%+J42*30%+I42*10%+H42*10%+G42*10%</f>
        <v>350.95528000000002</v>
      </c>
      <c r="M42" s="43">
        <f t="shared" ref="M42:M43" si="33">L42*40%+K42*30%+J42*10%+I42*10%+H42*10%</f>
        <v>365.05707199999995</v>
      </c>
      <c r="N42" s="43">
        <f t="shared" ref="N42:N43" si="34">M42*40%+L42*30%+K42*10%+J42*10%+I42*10%</f>
        <v>371.85293279999996</v>
      </c>
    </row>
    <row r="43" spans="2:14" x14ac:dyDescent="0.35">
      <c r="B43" t="s">
        <v>80</v>
      </c>
      <c r="E43" s="43">
        <f>'Balance Sheet '!E45</f>
        <v>452.74</v>
      </c>
      <c r="F43" s="43">
        <f>'Balance Sheet '!F45</f>
        <v>378.21</v>
      </c>
      <c r="G43" s="43">
        <f>'Balance Sheet '!G45</f>
        <v>485.79</v>
      </c>
      <c r="H43" s="43">
        <f>'Balance Sheet '!H45</f>
        <v>570.13</v>
      </c>
      <c r="I43" s="44">
        <f>'Balance Sheet '!I45</f>
        <v>674.92</v>
      </c>
      <c r="J43" s="43">
        <f t="shared" si="30"/>
        <v>572.68100000000004</v>
      </c>
      <c r="K43" s="43">
        <f t="shared" si="31"/>
        <v>574.96140000000003</v>
      </c>
      <c r="L43" s="43">
        <f t="shared" si="32"/>
        <v>574.87285999999995</v>
      </c>
      <c r="M43" s="43">
        <f t="shared" si="33"/>
        <v>584.21066399999995</v>
      </c>
      <c r="N43" s="43">
        <f t="shared" si="34"/>
        <v>588.40236359999994</v>
      </c>
    </row>
    <row r="44" spans="2:14" x14ac:dyDescent="0.35">
      <c r="E44" s="43"/>
      <c r="F44" s="43"/>
      <c r="G44" s="43"/>
      <c r="H44" s="43"/>
      <c r="I44" s="43"/>
      <c r="J44" s="43"/>
      <c r="K44" s="43"/>
      <c r="L44" s="43"/>
      <c r="M44" s="43"/>
      <c r="N44" s="43"/>
    </row>
    <row r="45" spans="2:14" x14ac:dyDescent="0.35">
      <c r="E45" s="43"/>
      <c r="F45" s="43"/>
      <c r="G45" s="43"/>
      <c r="H45" s="43"/>
      <c r="I45" s="43"/>
      <c r="J45" s="43"/>
      <c r="K45" s="43"/>
      <c r="L45" s="43"/>
      <c r="M45" s="43"/>
      <c r="N45" s="43"/>
    </row>
    <row r="46" spans="2:14" x14ac:dyDescent="0.35">
      <c r="E46" s="43"/>
      <c r="F46" s="43"/>
      <c r="G46" s="43"/>
      <c r="H46" s="43"/>
      <c r="I46" s="43"/>
      <c r="J46" s="43"/>
      <c r="K46" s="43"/>
      <c r="L46" s="43"/>
      <c r="M46" s="43"/>
      <c r="N46" s="43"/>
    </row>
    <row r="47" spans="2:14" x14ac:dyDescent="0.35">
      <c r="E47" s="43"/>
      <c r="F47" s="43"/>
      <c r="G47" s="43"/>
      <c r="H47" s="43"/>
      <c r="I47" s="43"/>
      <c r="J47" s="43"/>
      <c r="K47" s="43"/>
      <c r="L47" s="43"/>
      <c r="M47" s="43"/>
      <c r="N47" s="43"/>
    </row>
    <row r="48" spans="2:14" x14ac:dyDescent="0.35">
      <c r="E48" s="43"/>
      <c r="F48" s="43"/>
      <c r="G48" s="43"/>
      <c r="H48" s="43"/>
      <c r="I48" s="43"/>
      <c r="J48" s="43"/>
      <c r="K48" s="43"/>
      <c r="L48" s="43"/>
      <c r="M48" s="43"/>
      <c r="N48" s="43"/>
    </row>
    <row r="49" spans="2:14" x14ac:dyDescent="0.35">
      <c r="E49" s="43"/>
      <c r="F49" s="43"/>
      <c r="G49" s="43"/>
      <c r="H49" s="43"/>
      <c r="I49" s="43"/>
      <c r="J49" s="43"/>
      <c r="K49" s="43"/>
      <c r="L49" s="43"/>
      <c r="M49" s="43"/>
      <c r="N49" s="43"/>
    </row>
    <row r="50" spans="2:14" x14ac:dyDescent="0.35">
      <c r="E50" s="43"/>
      <c r="F50" s="43"/>
      <c r="G50" s="43"/>
      <c r="H50" s="43"/>
      <c r="I50" s="43"/>
      <c r="J50" s="43"/>
      <c r="K50" s="43"/>
      <c r="L50" s="43"/>
      <c r="M50" s="43"/>
      <c r="N50" s="43"/>
    </row>
    <row r="51" spans="2:14" x14ac:dyDescent="0.35">
      <c r="B51" s="22" t="s">
        <v>183</v>
      </c>
      <c r="C51" s="19" t="s">
        <v>50</v>
      </c>
      <c r="D51" s="19"/>
      <c r="E51" s="53" t="s">
        <v>45</v>
      </c>
      <c r="F51" s="53" t="s">
        <v>44</v>
      </c>
      <c r="G51" s="53" t="s">
        <v>43</v>
      </c>
      <c r="H51" s="53" t="s">
        <v>42</v>
      </c>
      <c r="I51" s="54" t="s">
        <v>41</v>
      </c>
      <c r="J51" s="53" t="s">
        <v>40</v>
      </c>
      <c r="K51" s="53" t="s">
        <v>39</v>
      </c>
      <c r="L51" s="53" t="s">
        <v>38</v>
      </c>
      <c r="M51" s="53" t="s">
        <v>37</v>
      </c>
      <c r="N51" s="53" t="s">
        <v>36</v>
      </c>
    </row>
    <row r="52" spans="2:14" x14ac:dyDescent="0.35">
      <c r="B52" s="3"/>
      <c r="E52" s="43"/>
      <c r="F52" s="43"/>
      <c r="G52" s="43"/>
      <c r="H52" s="43"/>
      <c r="I52" s="43"/>
      <c r="J52" s="43"/>
      <c r="K52" s="43"/>
      <c r="L52" s="43"/>
      <c r="M52" s="43"/>
      <c r="N52" s="43"/>
    </row>
    <row r="53" spans="2:14" x14ac:dyDescent="0.35">
      <c r="B53" t="s">
        <v>207</v>
      </c>
      <c r="E53" s="43">
        <v>522.69000000000005</v>
      </c>
      <c r="F53" s="43">
        <v>778.26</v>
      </c>
      <c r="G53" s="43">
        <v>749.59</v>
      </c>
      <c r="H53" s="43">
        <v>913.28</v>
      </c>
      <c r="I53" s="43">
        <v>724.93</v>
      </c>
      <c r="J53" s="43">
        <f>I54</f>
        <v>969.27</v>
      </c>
      <c r="K53" s="43">
        <f>J54</f>
        <v>966.00853765328543</v>
      </c>
      <c r="L53" s="43">
        <f>K54</f>
        <v>1170.3069221064918</v>
      </c>
      <c r="M53" s="43">
        <f t="shared" ref="M53:N53" si="35">L54</f>
        <v>1186.1019570983501</v>
      </c>
      <c r="N53" s="43">
        <f t="shared" si="35"/>
        <v>1421.7681574383707</v>
      </c>
    </row>
    <row r="54" spans="2:14" x14ac:dyDescent="0.35">
      <c r="B54" t="s">
        <v>205</v>
      </c>
      <c r="E54" s="43">
        <v>778.26</v>
      </c>
      <c r="F54" s="43">
        <v>749.59</v>
      </c>
      <c r="G54" s="43">
        <v>913.28</v>
      </c>
      <c r="H54" s="43">
        <v>724.93</v>
      </c>
      <c r="I54" s="43">
        <v>969.27</v>
      </c>
      <c r="J54" s="43">
        <f>(2*J57)-J53</f>
        <v>966.00853765328543</v>
      </c>
      <c r="K54" s="43">
        <f>(2*K57)-K53</f>
        <v>1170.3069221064918</v>
      </c>
      <c r="L54" s="43">
        <f>(2*L57)-L53</f>
        <v>1186.1019570983501</v>
      </c>
      <c r="M54" s="43">
        <f t="shared" ref="M54:N54" si="36">(2*M57)-M53</f>
        <v>1421.7681574383707</v>
      </c>
      <c r="N54" s="43">
        <f t="shared" si="36"/>
        <v>1450.7863242775509</v>
      </c>
    </row>
    <row r="55" spans="2:14" x14ac:dyDescent="0.35">
      <c r="B55" t="s">
        <v>209</v>
      </c>
      <c r="E55" s="43">
        <f>E53-E54</f>
        <v>-255.56999999999994</v>
      </c>
      <c r="F55" s="43">
        <f>F53-F54</f>
        <v>28.669999999999959</v>
      </c>
      <c r="G55" s="43">
        <f>G53-G54</f>
        <v>-163.68999999999994</v>
      </c>
      <c r="H55" s="43">
        <f>H53-H54</f>
        <v>188.35000000000002</v>
      </c>
      <c r="I55" s="43">
        <f>I53-I54</f>
        <v>-244.34000000000003</v>
      </c>
      <c r="J55" s="43">
        <f t="shared" ref="J55:N55" si="37">J53-J54</f>
        <v>3.261462346714552</v>
      </c>
      <c r="K55" s="43">
        <f t="shared" si="37"/>
        <v>-204.29838445320638</v>
      </c>
      <c r="L55" s="43">
        <f t="shared" si="37"/>
        <v>-15.795034991858302</v>
      </c>
      <c r="M55" s="43">
        <f t="shared" si="37"/>
        <v>-235.66620034002062</v>
      </c>
      <c r="N55" s="43">
        <f t="shared" si="37"/>
        <v>-29.01816683918014</v>
      </c>
    </row>
    <row r="56" spans="2:14" x14ac:dyDescent="0.35">
      <c r="B56" t="s">
        <v>206</v>
      </c>
      <c r="E56" s="43">
        <f>E11+E13</f>
        <v>21999.18</v>
      </c>
      <c r="F56" s="43">
        <f t="shared" ref="F56:N56" si="38">F11+F13</f>
        <v>20891.690000000002</v>
      </c>
      <c r="G56" s="43">
        <f t="shared" si="38"/>
        <v>24107.72</v>
      </c>
      <c r="H56" s="43">
        <f t="shared" si="38"/>
        <v>25321.09</v>
      </c>
      <c r="I56" s="43">
        <f t="shared" si="38"/>
        <v>27154.98</v>
      </c>
      <c r="J56" s="43">
        <f>J11+J13</f>
        <v>32108.030283793145</v>
      </c>
      <c r="K56" s="43">
        <f t="shared" si="38"/>
        <v>35443.415582378118</v>
      </c>
      <c r="L56" s="43">
        <f t="shared" si="38"/>
        <v>39094.965495898512</v>
      </c>
      <c r="M56" s="43">
        <f t="shared" si="38"/>
        <v>43266.935991177415</v>
      </c>
      <c r="N56" s="43">
        <f t="shared" si="38"/>
        <v>47658.290264832336</v>
      </c>
    </row>
    <row r="57" spans="2:14" x14ac:dyDescent="0.35">
      <c r="B57" t="s">
        <v>208</v>
      </c>
      <c r="E57" s="43">
        <f>AVERAGE(E53:E54)</f>
        <v>650.47500000000002</v>
      </c>
      <c r="F57" s="43">
        <f t="shared" ref="F57:I57" si="39">AVERAGE(F53:F54)</f>
        <v>763.92499999999995</v>
      </c>
      <c r="G57" s="43">
        <f t="shared" si="39"/>
        <v>831.43499999999995</v>
      </c>
      <c r="H57" s="43">
        <f t="shared" si="39"/>
        <v>819.10500000000002</v>
      </c>
      <c r="I57" s="43">
        <f t="shared" si="39"/>
        <v>847.09999999999991</v>
      </c>
      <c r="J57" s="43">
        <f>(J60/365)*J56</f>
        <v>967.63926882664271</v>
      </c>
      <c r="K57" s="43">
        <f t="shared" ref="K57:N57" si="40">(K60/365)*K56</f>
        <v>1068.1577298798886</v>
      </c>
      <c r="L57" s="43">
        <f t="shared" si="40"/>
        <v>1178.204439602421</v>
      </c>
      <c r="M57" s="43">
        <f t="shared" si="40"/>
        <v>1303.9350572683604</v>
      </c>
      <c r="N57" s="43">
        <f t="shared" si="40"/>
        <v>1436.2772408579608</v>
      </c>
    </row>
    <row r="60" spans="2:14" x14ac:dyDescent="0.35">
      <c r="B60" t="s">
        <v>210</v>
      </c>
      <c r="E60" s="39">
        <f>(E57/E56)*365</f>
        <v>10.792373852116306</v>
      </c>
      <c r="F60" s="39">
        <f t="shared" ref="F60:I60" si="41">(F57/F56)*365</f>
        <v>13.346580626076681</v>
      </c>
      <c r="G60" s="39">
        <f t="shared" si="41"/>
        <v>12.588240405977835</v>
      </c>
      <c r="H60" s="39">
        <f t="shared" si="41"/>
        <v>11.807284954952571</v>
      </c>
      <c r="I60" s="39">
        <f t="shared" si="41"/>
        <v>11.38618036176053</v>
      </c>
      <c r="J60">
        <v>11</v>
      </c>
      <c r="K60">
        <v>11</v>
      </c>
      <c r="L60">
        <v>11</v>
      </c>
      <c r="M60">
        <v>11</v>
      </c>
      <c r="N60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06662-151B-44FA-B578-7B19CAA9E6D7}">
  <dimension ref="B2:N79"/>
  <sheetViews>
    <sheetView showGridLines="0" zoomScale="74" zoomScaleNormal="74" workbookViewId="0">
      <pane ySplit="2" topLeftCell="A3" activePane="bottomLeft" state="frozen"/>
      <selection activeCell="B9" sqref="B9"/>
      <selection pane="bottomLeft" activeCell="E55" sqref="E55"/>
    </sheetView>
  </sheetViews>
  <sheetFormatPr defaultRowHeight="14.5" x14ac:dyDescent="0.35"/>
  <cols>
    <col min="1" max="1" width="1.81640625" customWidth="1"/>
    <col min="2" max="2" width="43.1796875" bestFit="1" customWidth="1"/>
    <col min="5" max="5" width="14.08984375" customWidth="1"/>
    <col min="6" max="6" width="11.453125" customWidth="1"/>
    <col min="7" max="7" width="15" customWidth="1"/>
    <col min="8" max="8" width="13.26953125" customWidth="1"/>
    <col min="9" max="9" width="12.54296875" customWidth="1"/>
    <col min="10" max="10" width="13.54296875" customWidth="1"/>
    <col min="11" max="11" width="12.7265625" customWidth="1"/>
    <col min="12" max="12" width="14.81640625" customWidth="1"/>
    <col min="13" max="13" width="11.90625" customWidth="1"/>
    <col min="14" max="14" width="11.54296875" customWidth="1"/>
  </cols>
  <sheetData>
    <row r="2" spans="2:14" x14ac:dyDescent="0.35">
      <c r="B2" s="21" t="s">
        <v>46</v>
      </c>
      <c r="C2" s="20" t="s">
        <v>50</v>
      </c>
      <c r="D2" s="19"/>
      <c r="E2" s="19" t="s">
        <v>45</v>
      </c>
      <c r="F2" s="19" t="s">
        <v>44</v>
      </c>
      <c r="G2" s="19" t="s">
        <v>43</v>
      </c>
      <c r="H2" s="19" t="s">
        <v>42</v>
      </c>
      <c r="I2" s="19" t="s">
        <v>41</v>
      </c>
      <c r="J2" s="19" t="s">
        <v>40</v>
      </c>
      <c r="K2" s="19" t="s">
        <v>39</v>
      </c>
      <c r="L2" s="19" t="s">
        <v>38</v>
      </c>
      <c r="M2" s="19" t="s">
        <v>37</v>
      </c>
      <c r="N2" s="19" t="s">
        <v>36</v>
      </c>
    </row>
    <row r="4" spans="2:14" x14ac:dyDescent="0.35">
      <c r="B4" t="s">
        <v>35</v>
      </c>
    </row>
    <row r="5" spans="2:14" x14ac:dyDescent="0.35">
      <c r="B5" t="s">
        <v>34</v>
      </c>
      <c r="E5" s="56">
        <v>26823.27</v>
      </c>
      <c r="F5" s="56">
        <v>24275.42</v>
      </c>
      <c r="G5" s="45">
        <v>28400.38</v>
      </c>
      <c r="H5" s="45">
        <v>31326.34</v>
      </c>
      <c r="I5" s="45">
        <v>33906.58</v>
      </c>
      <c r="J5" s="57">
        <f>J34*J27</f>
        <v>39068.68992661946</v>
      </c>
      <c r="K5" s="57">
        <f t="shared" ref="K5:N5" si="0">K34*K27</f>
        <v>43456.094282429396</v>
      </c>
      <c r="L5" s="57">
        <f t="shared" si="0"/>
        <v>47966.178677599411</v>
      </c>
      <c r="M5" s="57">
        <f t="shared" si="0"/>
        <v>52899.762763348408</v>
      </c>
      <c r="N5" s="57">
        <f t="shared" si="0"/>
        <v>58005.03455085287</v>
      </c>
    </row>
    <row r="6" spans="2:14" s="5" customFormat="1" x14ac:dyDescent="0.35">
      <c r="B6" s="5" t="s">
        <v>13</v>
      </c>
      <c r="E6" s="64" t="s">
        <v>12</v>
      </c>
      <c r="F6" s="64">
        <f t="shared" ref="F6:N6" si="1">(F5-E5)/E5</f>
        <v>-9.4986554584881047E-2</v>
      </c>
      <c r="G6" s="64">
        <f t="shared" si="1"/>
        <v>0.16992332161503296</v>
      </c>
      <c r="H6" s="64">
        <f t="shared" si="1"/>
        <v>0.10302538205474712</v>
      </c>
      <c r="I6" s="64">
        <f t="shared" si="1"/>
        <v>8.2366468601183587E-2</v>
      </c>
      <c r="J6" s="65">
        <f t="shared" si="1"/>
        <v>0.15224507828921283</v>
      </c>
      <c r="K6" s="65">
        <f t="shared" si="1"/>
        <v>0.11229975625111958</v>
      </c>
      <c r="L6" s="65">
        <f t="shared" si="1"/>
        <v>0.10378485387706778</v>
      </c>
      <c r="M6" s="65">
        <f t="shared" si="1"/>
        <v>0.10285547487344494</v>
      </c>
      <c r="N6" s="65">
        <f t="shared" si="1"/>
        <v>9.6508406102751909E-2</v>
      </c>
    </row>
    <row r="7" spans="2:14" x14ac:dyDescent="0.35">
      <c r="B7" t="s">
        <v>33</v>
      </c>
      <c r="E7" s="56">
        <v>3199.17</v>
      </c>
      <c r="F7" s="56">
        <v>3933.75</v>
      </c>
      <c r="G7" s="45">
        <v>4899.8</v>
      </c>
      <c r="H7" s="45">
        <v>5829.83</v>
      </c>
      <c r="I7" s="45">
        <v>6389.97</v>
      </c>
      <c r="J7" s="57">
        <f>I7*(1+J8)</f>
        <v>7303.3890288257908</v>
      </c>
      <c r="K7" s="57">
        <f>J7*(1+K8)</f>
        <v>8176.244256662887</v>
      </c>
      <c r="L7" s="57">
        <f>K7*(1+L8)</f>
        <v>9249.210627945029</v>
      </c>
      <c r="M7" s="57">
        <f>L7*(1+M8)</f>
        <v>10408.800167794727</v>
      </c>
      <c r="N7" s="57">
        <f>M7*(1+N8)</f>
        <v>11744.256857721241</v>
      </c>
    </row>
    <row r="8" spans="2:14" s="5" customFormat="1" x14ac:dyDescent="0.35">
      <c r="B8" s="5" t="s">
        <v>13</v>
      </c>
      <c r="E8" s="66" t="s">
        <v>12</v>
      </c>
      <c r="F8" s="67">
        <f>(F7-E7)/E7</f>
        <v>0.2296158065998368</v>
      </c>
      <c r="G8" s="67">
        <f>(G7-F7)/F7</f>
        <v>0.24557991738163334</v>
      </c>
      <c r="H8" s="67">
        <f>(H7-G7)/G7</f>
        <v>0.18980978815461849</v>
      </c>
      <c r="I8" s="67">
        <f>(I7-H7)/H7</f>
        <v>9.608170392618659E-2</v>
      </c>
      <c r="J8" s="68">
        <f>AVERAGE(H8:I8)</f>
        <v>0.14294574604040255</v>
      </c>
      <c r="K8" s="68">
        <f t="shared" ref="K8:N8" si="2">AVERAGE(I8:J8)</f>
        <v>0.11951372498329457</v>
      </c>
      <c r="L8" s="68">
        <f t="shared" si="2"/>
        <v>0.13122973551184858</v>
      </c>
      <c r="M8" s="68">
        <f t="shared" si="2"/>
        <v>0.12537173024757159</v>
      </c>
      <c r="N8" s="68">
        <f t="shared" si="2"/>
        <v>0.12830073287971008</v>
      </c>
    </row>
    <row r="9" spans="2:14" x14ac:dyDescent="0.35">
      <c r="B9" t="s">
        <v>11</v>
      </c>
      <c r="C9">
        <v>1</v>
      </c>
      <c r="E9" s="45">
        <f t="shared" ref="E9:N9" si="3">E5+E7</f>
        <v>30022.440000000002</v>
      </c>
      <c r="F9" s="45">
        <f t="shared" si="3"/>
        <v>28209.17</v>
      </c>
      <c r="G9" s="45">
        <f t="shared" si="3"/>
        <v>33300.18</v>
      </c>
      <c r="H9" s="45">
        <f t="shared" si="3"/>
        <v>37156.17</v>
      </c>
      <c r="I9" s="45">
        <f t="shared" si="3"/>
        <v>40296.550000000003</v>
      </c>
      <c r="J9" s="57">
        <f t="shared" si="3"/>
        <v>46372.078955445249</v>
      </c>
      <c r="K9" s="57">
        <f t="shared" si="3"/>
        <v>51632.338539092285</v>
      </c>
      <c r="L9" s="57">
        <f t="shared" si="3"/>
        <v>57215.389305544442</v>
      </c>
      <c r="M9" s="57">
        <f t="shared" si="3"/>
        <v>63308.562931143133</v>
      </c>
      <c r="N9" s="57">
        <f t="shared" si="3"/>
        <v>69749.291408574107</v>
      </c>
    </row>
    <row r="10" spans="2:14" x14ac:dyDescent="0.35">
      <c r="E10" s="43"/>
      <c r="F10" s="43"/>
      <c r="G10" s="43"/>
      <c r="H10" s="43"/>
      <c r="I10" s="43"/>
      <c r="J10" s="43"/>
      <c r="K10" s="43"/>
      <c r="L10" s="43"/>
      <c r="M10" s="43"/>
      <c r="N10" s="43"/>
    </row>
    <row r="11" spans="2:14" x14ac:dyDescent="0.35">
      <c r="B11" t="s">
        <v>49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</row>
    <row r="12" spans="2:14" x14ac:dyDescent="0.35">
      <c r="B12" t="s">
        <v>32</v>
      </c>
      <c r="E12" s="58">
        <v>43.18</v>
      </c>
      <c r="F12" s="58">
        <v>86.81</v>
      </c>
      <c r="G12" s="43">
        <v>73.41</v>
      </c>
      <c r="H12" s="43">
        <v>75.040000000000006</v>
      </c>
      <c r="I12" s="43">
        <v>100.51</v>
      </c>
      <c r="J12" s="43">
        <f>AVERAGE(G12:I12)</f>
        <v>82.986666666666665</v>
      </c>
      <c r="K12" s="43">
        <f>AVERAGE(H12:J12)</f>
        <v>86.178888888888892</v>
      </c>
      <c r="L12" s="43">
        <f>AVERAGE(I12:K12)</f>
        <v>89.891851851851854</v>
      </c>
      <c r="M12" s="43">
        <f>AVERAGE(J12:L12)</f>
        <v>86.35246913580248</v>
      </c>
      <c r="N12" s="43">
        <f>AVERAGE(K12:M12)</f>
        <v>87.47440329218108</v>
      </c>
    </row>
    <row r="13" spans="2:14" x14ac:dyDescent="0.35">
      <c r="B13" t="s">
        <v>31</v>
      </c>
      <c r="E13" s="58">
        <v>37.369999999999997</v>
      </c>
      <c r="F13" s="58">
        <v>50.52</v>
      </c>
      <c r="G13" s="43">
        <v>58.79</v>
      </c>
      <c r="H13" s="43">
        <v>42.43</v>
      </c>
      <c r="I13" s="43">
        <v>35.619999999999997</v>
      </c>
      <c r="J13" s="43">
        <f>AVERAGE(F13:I13)</f>
        <v>46.84</v>
      </c>
      <c r="K13" s="43">
        <f>AVERAGE(G13:J13)</f>
        <v>45.92</v>
      </c>
      <c r="L13" s="43">
        <f>AVERAGE(H13:K13)</f>
        <v>42.702500000000001</v>
      </c>
      <c r="M13" s="43">
        <f>AVERAGE(I13:L13)</f>
        <v>42.770624999999995</v>
      </c>
      <c r="N13" s="43">
        <f>AVERAGE(J13:M13)</f>
        <v>44.55828125</v>
      </c>
    </row>
    <row r="14" spans="2:14" x14ac:dyDescent="0.35">
      <c r="B14" t="s">
        <v>30</v>
      </c>
      <c r="E14" s="58">
        <v>348.6</v>
      </c>
      <c r="F14" s="58">
        <v>341.24</v>
      </c>
      <c r="G14" s="43">
        <v>305.33999999999997</v>
      </c>
      <c r="H14" s="43">
        <v>325.39</v>
      </c>
      <c r="I14" s="43">
        <v>279.81</v>
      </c>
      <c r="J14" s="43">
        <f>AVERAGE(E14:I14)</f>
        <v>320.07600000000002</v>
      </c>
      <c r="K14" s="43">
        <f>AVERAGE(F14:J14)</f>
        <v>314.37119999999999</v>
      </c>
      <c r="L14" s="43">
        <f>AVERAGE(G14:K14)</f>
        <v>308.99743999999998</v>
      </c>
      <c r="M14" s="43">
        <f>AVERAGE(H14:L14)</f>
        <v>309.728928</v>
      </c>
      <c r="N14" s="43">
        <f>AVERAGE(I14:M14)</f>
        <v>306.59671360000004</v>
      </c>
    </row>
    <row r="15" spans="2:14" x14ac:dyDescent="0.35">
      <c r="B15" t="s">
        <v>11</v>
      </c>
      <c r="C15">
        <v>2</v>
      </c>
      <c r="E15" s="45">
        <f t="shared" ref="E15:N15" si="4">SUM(E12:E14)</f>
        <v>429.15000000000003</v>
      </c>
      <c r="F15" s="45">
        <f t="shared" si="4"/>
        <v>478.57000000000005</v>
      </c>
      <c r="G15" s="45">
        <f t="shared" si="4"/>
        <v>437.53999999999996</v>
      </c>
      <c r="H15" s="45">
        <f t="shared" si="4"/>
        <v>442.86</v>
      </c>
      <c r="I15" s="45">
        <f t="shared" si="4"/>
        <v>415.94</v>
      </c>
      <c r="J15" s="57">
        <f t="shared" si="4"/>
        <v>449.90266666666668</v>
      </c>
      <c r="K15" s="57">
        <f t="shared" si="4"/>
        <v>446.47008888888888</v>
      </c>
      <c r="L15" s="57">
        <f t="shared" si="4"/>
        <v>441.59179185185184</v>
      </c>
      <c r="M15" s="57">
        <f t="shared" si="4"/>
        <v>438.85202213580249</v>
      </c>
      <c r="N15" s="57">
        <f t="shared" si="4"/>
        <v>438.62939814218112</v>
      </c>
    </row>
    <row r="16" spans="2:14" x14ac:dyDescent="0.35">
      <c r="E16" s="43"/>
      <c r="F16" s="43"/>
      <c r="G16" s="43"/>
      <c r="H16" s="43"/>
      <c r="I16" s="43"/>
      <c r="J16" s="45"/>
      <c r="K16" s="45"/>
      <c r="L16" s="45"/>
      <c r="M16" s="45"/>
      <c r="N16" s="45"/>
    </row>
    <row r="17" spans="2:14" x14ac:dyDescent="0.35">
      <c r="B17" s="3" t="s">
        <v>29</v>
      </c>
      <c r="C17">
        <v>3</v>
      </c>
      <c r="E17" s="45">
        <v>507.6</v>
      </c>
      <c r="F17" s="45">
        <v>573.64</v>
      </c>
      <c r="G17" s="45">
        <v>420.66</v>
      </c>
      <c r="H17" s="45">
        <v>189.59</v>
      </c>
      <c r="I17" s="45">
        <v>210.93</v>
      </c>
      <c r="J17" s="57">
        <f>AVERAGE(G17:I17)</f>
        <v>273.72666666666669</v>
      </c>
      <c r="K17" s="57">
        <f>AVERAGE(H17:J17)</f>
        <v>224.7488888888889</v>
      </c>
      <c r="L17" s="57">
        <f>AVERAGE(I17:K17)</f>
        <v>236.46851851851852</v>
      </c>
      <c r="M17" s="57">
        <f>AVERAGE(J17:L17)</f>
        <v>244.98135802469139</v>
      </c>
      <c r="N17" s="57">
        <f>AVERAGE(K17:M17)</f>
        <v>235.39958847736628</v>
      </c>
    </row>
    <row r="18" spans="2:14" x14ac:dyDescent="0.35">
      <c r="B18" s="3"/>
      <c r="E18" s="45"/>
      <c r="F18" s="45"/>
      <c r="G18" s="45"/>
      <c r="H18" s="45"/>
      <c r="I18" s="45"/>
      <c r="J18" s="45"/>
      <c r="K18" s="45"/>
      <c r="L18" s="45"/>
      <c r="M18" s="45"/>
      <c r="N18" s="45"/>
    </row>
    <row r="19" spans="2:14" x14ac:dyDescent="0.35">
      <c r="B19" s="10" t="s">
        <v>51</v>
      </c>
      <c r="C19" s="11"/>
      <c r="D19" s="11"/>
      <c r="E19" s="59">
        <f>E9+E17+E15</f>
        <v>30959.190000000002</v>
      </c>
      <c r="F19" s="59">
        <f>F9+F17+F15</f>
        <v>29261.379999999997</v>
      </c>
      <c r="G19" s="59">
        <f>G9+G17+G15</f>
        <v>34158.380000000005</v>
      </c>
      <c r="H19" s="59">
        <f>H9+H17+H15</f>
        <v>37788.619999999995</v>
      </c>
      <c r="I19" s="59">
        <f>I9+I17+I15</f>
        <v>40923.420000000006</v>
      </c>
      <c r="J19" s="59">
        <f t="shared" ref="J19:N19" si="5">J9+J17+J15</f>
        <v>47095.708288778587</v>
      </c>
      <c r="K19" s="59">
        <f t="shared" si="5"/>
        <v>52303.557516870067</v>
      </c>
      <c r="L19" s="59">
        <f t="shared" si="5"/>
        <v>57893.449615914811</v>
      </c>
      <c r="M19" s="59">
        <f t="shared" si="5"/>
        <v>63992.39631130363</v>
      </c>
      <c r="N19" s="60">
        <f t="shared" si="5"/>
        <v>70423.320395193645</v>
      </c>
    </row>
    <row r="20" spans="2:14" x14ac:dyDescent="0.35">
      <c r="B20" s="3"/>
      <c r="E20" s="45"/>
      <c r="F20" s="45"/>
      <c r="G20" s="45"/>
      <c r="H20" s="45"/>
      <c r="I20" s="45"/>
      <c r="J20" s="45"/>
      <c r="K20" s="45"/>
      <c r="L20" s="45"/>
      <c r="M20" s="45"/>
      <c r="N20" s="45"/>
    </row>
    <row r="21" spans="2:14" x14ac:dyDescent="0.35">
      <c r="B21" s="3"/>
      <c r="E21" s="45"/>
      <c r="F21" s="45"/>
      <c r="G21" s="45"/>
      <c r="H21" s="45"/>
      <c r="I21" s="45"/>
      <c r="J21" s="45"/>
      <c r="K21" s="45"/>
      <c r="L21" s="45"/>
      <c r="M21" s="45"/>
      <c r="N21" s="45"/>
    </row>
    <row r="22" spans="2:14" x14ac:dyDescent="0.35">
      <c r="B22" s="3"/>
      <c r="E22" s="45"/>
      <c r="F22" s="45"/>
      <c r="G22" s="45"/>
      <c r="H22" s="45"/>
      <c r="I22" s="45"/>
      <c r="J22" s="45"/>
      <c r="K22" s="45"/>
      <c r="L22" s="45"/>
      <c r="M22" s="45"/>
      <c r="N22" s="45"/>
    </row>
    <row r="23" spans="2:14" x14ac:dyDescent="0.35">
      <c r="E23" s="43"/>
      <c r="F23" s="43"/>
      <c r="G23" s="43"/>
      <c r="H23" s="43"/>
      <c r="I23" s="43"/>
      <c r="J23" s="43"/>
      <c r="K23" s="43"/>
      <c r="L23" s="43"/>
      <c r="M23" s="43"/>
      <c r="N23" s="43"/>
    </row>
    <row r="24" spans="2:14" x14ac:dyDescent="0.35">
      <c r="B24" s="7" t="s">
        <v>52</v>
      </c>
      <c r="C24" s="6"/>
      <c r="D24" s="6"/>
      <c r="E24" s="61"/>
      <c r="F24" s="61"/>
      <c r="G24" s="61"/>
      <c r="H24" s="61"/>
      <c r="I24" s="61"/>
      <c r="J24" s="61"/>
      <c r="K24" s="61"/>
      <c r="L24" s="61"/>
      <c r="M24" s="61"/>
      <c r="N24" s="61"/>
    </row>
    <row r="25" spans="2:14" x14ac:dyDescent="0.35">
      <c r="B25" s="3"/>
      <c r="E25" s="43"/>
      <c r="F25" s="43"/>
      <c r="G25" s="43"/>
      <c r="H25" s="43"/>
      <c r="I25" s="43"/>
      <c r="J25" s="43"/>
      <c r="K25" s="43"/>
      <c r="L25" s="43"/>
      <c r="M25" s="43"/>
      <c r="N25" s="43"/>
    </row>
    <row r="26" spans="2:14" x14ac:dyDescent="0.35">
      <c r="B26" t="s">
        <v>27</v>
      </c>
      <c r="E26" s="199">
        <v>95</v>
      </c>
      <c r="F26" s="199">
        <v>95</v>
      </c>
      <c r="G26" s="199">
        <v>95</v>
      </c>
      <c r="H26" s="199">
        <v>95</v>
      </c>
      <c r="I26" s="199">
        <v>95</v>
      </c>
      <c r="J26" s="200">
        <v>95</v>
      </c>
      <c r="K26" s="200">
        <v>95</v>
      </c>
      <c r="L26" s="200">
        <v>97</v>
      </c>
      <c r="M26" s="200">
        <v>99</v>
      </c>
      <c r="N26" s="200">
        <v>101</v>
      </c>
    </row>
    <row r="27" spans="2:14" x14ac:dyDescent="0.35">
      <c r="B27" t="s">
        <v>26</v>
      </c>
      <c r="E27" s="199">
        <v>58</v>
      </c>
      <c r="F27" s="199">
        <v>49</v>
      </c>
      <c r="G27" s="199">
        <v>53</v>
      </c>
      <c r="H27" s="199">
        <v>56</v>
      </c>
      <c r="I27" s="199">
        <v>59</v>
      </c>
      <c r="J27" s="200">
        <f>J29+J31</f>
        <v>62.740617425785743</v>
      </c>
      <c r="K27" s="200">
        <f>K29+K31</f>
        <v>66.324247737831428</v>
      </c>
      <c r="L27" s="200">
        <f>L29+L31</f>
        <v>70.065272620767288</v>
      </c>
      <c r="M27" s="200">
        <f>M29+M31</f>
        <v>73.938181739149769</v>
      </c>
      <c r="N27" s="200">
        <f>N29+N31</f>
        <v>77.247434424366247</v>
      </c>
    </row>
    <row r="28" spans="2:14" s="5" customFormat="1" x14ac:dyDescent="0.35">
      <c r="B28" s="5" t="s">
        <v>23</v>
      </c>
      <c r="E28" s="69" t="s">
        <v>12</v>
      </c>
      <c r="F28" s="201">
        <f t="shared" ref="F28:N28" si="6">(F27-E27)/E27</f>
        <v>-0.15517241379310345</v>
      </c>
      <c r="G28" s="201">
        <f t="shared" si="6"/>
        <v>8.1632653061224483E-2</v>
      </c>
      <c r="H28" s="201">
        <f t="shared" si="6"/>
        <v>5.6603773584905662E-2</v>
      </c>
      <c r="I28" s="201">
        <f t="shared" si="6"/>
        <v>5.3571428571428568E-2</v>
      </c>
      <c r="J28" s="202">
        <f t="shared" si="6"/>
        <v>6.3400295352300726E-2</v>
      </c>
      <c r="K28" s="202">
        <f t="shared" si="6"/>
        <v>5.7118186895190638E-2</v>
      </c>
      <c r="L28" s="202">
        <f t="shared" si="6"/>
        <v>5.640508577984181E-2</v>
      </c>
      <c r="M28" s="202">
        <f t="shared" si="6"/>
        <v>5.5275730379939374E-2</v>
      </c>
      <c r="N28" s="202">
        <f t="shared" si="6"/>
        <v>4.4757020085932832E-2</v>
      </c>
    </row>
    <row r="29" spans="2:14" x14ac:dyDescent="0.35">
      <c r="B29" t="s">
        <v>25</v>
      </c>
      <c r="E29" s="199">
        <v>56</v>
      </c>
      <c r="F29" s="199">
        <v>46.4</v>
      </c>
      <c r="G29" s="199">
        <v>51.56</v>
      </c>
      <c r="H29" s="199">
        <v>54.2</v>
      </c>
      <c r="I29" s="199">
        <v>55.4</v>
      </c>
      <c r="J29" s="200">
        <f>J54</f>
        <v>60.212617425785744</v>
      </c>
      <c r="K29" s="200">
        <f>K54</f>
        <v>63.729047737831422</v>
      </c>
      <c r="L29" s="200">
        <f>L54</f>
        <v>67.368792620767294</v>
      </c>
      <c r="M29" s="200">
        <f>M54</f>
        <v>71.215429739149769</v>
      </c>
      <c r="N29" s="200">
        <f>N54</f>
        <v>74.577549624366242</v>
      </c>
    </row>
    <row r="30" spans="2:14" s="5" customFormat="1" x14ac:dyDescent="0.35">
      <c r="B30" s="5" t="s">
        <v>23</v>
      </c>
      <c r="E30" s="66" t="s">
        <v>12</v>
      </c>
      <c r="F30" s="201">
        <f t="shared" ref="F30:N30" si="7">(F29-E29)/E29</f>
        <v>-0.17142857142857146</v>
      </c>
      <c r="G30" s="201">
        <f t="shared" si="7"/>
        <v>0.11120689655172422</v>
      </c>
      <c r="H30" s="201">
        <f t="shared" si="7"/>
        <v>5.1202482544608234E-2</v>
      </c>
      <c r="I30" s="201">
        <f t="shared" si="7"/>
        <v>2.2140221402213941E-2</v>
      </c>
      <c r="J30" s="202">
        <f t="shared" si="7"/>
        <v>8.6870350645952096E-2</v>
      </c>
      <c r="K30" s="202">
        <f t="shared" si="7"/>
        <v>5.8400223447848072E-2</v>
      </c>
      <c r="L30" s="202">
        <f t="shared" si="7"/>
        <v>5.7112808242625185E-2</v>
      </c>
      <c r="M30" s="202">
        <f t="shared" si="7"/>
        <v>5.7098204802867425E-2</v>
      </c>
      <c r="N30" s="202">
        <f t="shared" si="7"/>
        <v>4.7210553914107604E-2</v>
      </c>
    </row>
    <row r="31" spans="2:14" x14ac:dyDescent="0.35">
      <c r="B31" t="s">
        <v>24</v>
      </c>
      <c r="E31" s="199">
        <v>2</v>
      </c>
      <c r="F31" s="199">
        <v>2.6</v>
      </c>
      <c r="G31" s="199">
        <v>1.44</v>
      </c>
      <c r="H31" s="199">
        <v>1.8</v>
      </c>
      <c r="I31" s="199">
        <v>3.6</v>
      </c>
      <c r="J31" s="200">
        <f>40%*I31+30%*H31+20%*G31+10%*F31</f>
        <v>2.5280000000000005</v>
      </c>
      <c r="K31" s="200">
        <f t="shared" ref="K31:N31" si="8">40%*J31+30%*I31+20%*H31+10%*G31</f>
        <v>2.5952000000000006</v>
      </c>
      <c r="L31" s="200">
        <f t="shared" si="8"/>
        <v>2.6964800000000007</v>
      </c>
      <c r="M31" s="200">
        <f t="shared" si="8"/>
        <v>2.7227520000000003</v>
      </c>
      <c r="N31" s="200">
        <f t="shared" si="8"/>
        <v>2.6698848000000006</v>
      </c>
    </row>
    <row r="32" spans="2:14" s="5" customFormat="1" x14ac:dyDescent="0.35">
      <c r="B32" s="5" t="s">
        <v>23</v>
      </c>
      <c r="E32" s="66" t="s">
        <v>12</v>
      </c>
      <c r="F32" s="201">
        <f>(F31-E31)/E31</f>
        <v>0.30000000000000004</v>
      </c>
      <c r="G32" s="201">
        <f>(G31-F31)/F31</f>
        <v>-0.44615384615384618</v>
      </c>
      <c r="H32" s="201">
        <f>(H31-G31)/G31</f>
        <v>0.25000000000000006</v>
      </c>
      <c r="I32" s="201">
        <f>(I31-H31)/H31</f>
        <v>1</v>
      </c>
      <c r="J32" s="202">
        <v>0.2</v>
      </c>
      <c r="K32" s="202">
        <v>0.25</v>
      </c>
      <c r="L32" s="202">
        <v>0.3</v>
      </c>
      <c r="M32" s="202">
        <v>0.2</v>
      </c>
      <c r="N32" s="202">
        <v>0.15</v>
      </c>
    </row>
    <row r="33" spans="2:14" s="5" customFormat="1" x14ac:dyDescent="0.35">
      <c r="B33" s="5" t="s">
        <v>22</v>
      </c>
      <c r="E33" s="70">
        <f t="shared" ref="E33:N33" si="9">E27/E26</f>
        <v>0.61052631578947369</v>
      </c>
      <c r="F33" s="70">
        <f t="shared" si="9"/>
        <v>0.51578947368421058</v>
      </c>
      <c r="G33" s="70">
        <f t="shared" si="9"/>
        <v>0.55789473684210522</v>
      </c>
      <c r="H33" s="70">
        <f t="shared" si="9"/>
        <v>0.58947368421052626</v>
      </c>
      <c r="I33" s="70">
        <f t="shared" si="9"/>
        <v>0.62105263157894741</v>
      </c>
      <c r="J33" s="71">
        <f t="shared" si="9"/>
        <v>0.66042755185037627</v>
      </c>
      <c r="K33" s="71">
        <f t="shared" si="9"/>
        <v>0.69814997618769925</v>
      </c>
      <c r="L33" s="71">
        <f t="shared" si="9"/>
        <v>0.72232239815224009</v>
      </c>
      <c r="M33" s="71">
        <f t="shared" si="9"/>
        <v>0.74685032059747236</v>
      </c>
      <c r="N33" s="71">
        <f t="shared" si="9"/>
        <v>0.76482608340956681</v>
      </c>
    </row>
    <row r="34" spans="2:14" x14ac:dyDescent="0.35">
      <c r="B34" t="s">
        <v>21</v>
      </c>
      <c r="E34" s="45">
        <f>(E5/AVERAGE(D27:E27))</f>
        <v>462.47017241379314</v>
      </c>
      <c r="F34" s="45">
        <f>(F5/AVERAGE(E27:F27))</f>
        <v>453.74616822429903</v>
      </c>
      <c r="G34" s="45">
        <f>(G5/AVERAGE(F27:G27))</f>
        <v>556.87019607843138</v>
      </c>
      <c r="H34" s="45">
        <f t="shared" ref="H34:I34" si="10">(H5/AVERAGE(G27:H27))</f>
        <v>574.79522935779812</v>
      </c>
      <c r="I34" s="45">
        <f t="shared" si="10"/>
        <v>589.67965217391304</v>
      </c>
      <c r="J34" s="57">
        <f>I34*(1+J35)</f>
        <v>622.70171269565219</v>
      </c>
      <c r="K34" s="57">
        <f>J34*(1+K35)</f>
        <v>655.20674209836523</v>
      </c>
      <c r="L34" s="57">
        <f>K34*(1+L35)</f>
        <v>684.59276448147693</v>
      </c>
      <c r="M34" s="57">
        <f>L34*(1+M35)</f>
        <v>715.45934075003549</v>
      </c>
      <c r="N34" s="57">
        <f>M34*(1+N35)</f>
        <v>750.89917203200048</v>
      </c>
    </row>
    <row r="35" spans="2:14" s="5" customFormat="1" x14ac:dyDescent="0.35">
      <c r="B35" s="5" t="s">
        <v>20</v>
      </c>
      <c r="E35" s="72" t="s">
        <v>12</v>
      </c>
      <c r="F35" s="203">
        <v>7.1199999999999999E-2</v>
      </c>
      <c r="G35" s="203">
        <v>8.1600000000000006E-2</v>
      </c>
      <c r="H35" s="203">
        <v>4.3900000000000002E-2</v>
      </c>
      <c r="I35" s="203">
        <v>2.7300000000000001E-2</v>
      </c>
      <c r="J35" s="204">
        <f>AVERAGE(F35:I35)</f>
        <v>5.5999999999999994E-2</v>
      </c>
      <c r="K35" s="204">
        <f t="shared" ref="K35:N35" si="11">AVERAGE(G35:J35)</f>
        <v>5.2199999999999996E-2</v>
      </c>
      <c r="L35" s="204">
        <f t="shared" si="11"/>
        <v>4.4849999999999994E-2</v>
      </c>
      <c r="M35" s="204">
        <f t="shared" si="11"/>
        <v>4.5087500000000003E-2</v>
      </c>
      <c r="N35" s="204">
        <f t="shared" si="11"/>
        <v>4.9534374999999999E-2</v>
      </c>
    </row>
    <row r="36" spans="2:14" x14ac:dyDescent="0.35">
      <c r="E36" s="43"/>
      <c r="F36" s="43"/>
      <c r="G36" s="43"/>
      <c r="H36" s="43"/>
      <c r="I36" s="43"/>
      <c r="J36" s="204"/>
      <c r="K36" s="204"/>
      <c r="L36" s="204"/>
      <c r="M36" s="204"/>
      <c r="N36" s="204"/>
    </row>
    <row r="37" spans="2:14" x14ac:dyDescent="0.35">
      <c r="E37" s="43"/>
      <c r="F37" s="43"/>
      <c r="G37" s="43"/>
      <c r="H37" s="43"/>
      <c r="I37" s="43"/>
      <c r="J37" s="43"/>
      <c r="K37" s="43"/>
      <c r="L37" s="43"/>
      <c r="M37" s="43"/>
      <c r="N37" s="43"/>
    </row>
    <row r="38" spans="2:14" x14ac:dyDescent="0.35">
      <c r="E38" s="43"/>
      <c r="F38" s="43"/>
      <c r="G38" s="43"/>
      <c r="H38" s="16"/>
      <c r="I38" s="16"/>
      <c r="J38" s="16"/>
      <c r="K38" s="16"/>
      <c r="L38" s="43"/>
      <c r="M38" s="43"/>
      <c r="N38" s="43"/>
    </row>
    <row r="39" spans="2:14" ht="72.5" x14ac:dyDescent="0.35">
      <c r="B39" s="8" t="s">
        <v>282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</row>
    <row r="40" spans="2:14" ht="15" thickBot="1" x14ac:dyDescent="0.4">
      <c r="B40" s="9"/>
      <c r="C40" s="9"/>
      <c r="D40" s="9"/>
      <c r="E40" s="62"/>
      <c r="F40" s="62"/>
      <c r="G40" s="62"/>
      <c r="H40" s="62"/>
      <c r="I40" s="62"/>
      <c r="J40" s="62"/>
      <c r="K40" s="62"/>
      <c r="L40" s="62"/>
      <c r="M40" s="62"/>
      <c r="N40" s="62"/>
    </row>
    <row r="41" spans="2:14" x14ac:dyDescent="0.35">
      <c r="E41" s="43"/>
      <c r="F41" s="43"/>
      <c r="G41" s="43"/>
      <c r="H41" s="43"/>
      <c r="I41" s="43"/>
      <c r="J41" s="43"/>
      <c r="K41" s="43"/>
      <c r="L41" s="43"/>
      <c r="M41" s="43"/>
      <c r="N41" s="43"/>
    </row>
    <row r="42" spans="2:14" x14ac:dyDescent="0.35">
      <c r="B42" s="7" t="s">
        <v>19</v>
      </c>
      <c r="C42" s="6"/>
      <c r="D42" s="6"/>
      <c r="E42" s="61"/>
      <c r="F42" s="61"/>
      <c r="G42" s="61"/>
      <c r="H42" s="61"/>
      <c r="I42" s="61"/>
      <c r="J42" s="61"/>
      <c r="K42" s="61"/>
      <c r="L42" s="61"/>
      <c r="M42" s="61"/>
      <c r="N42" s="61"/>
    </row>
    <row r="43" spans="2:14" x14ac:dyDescent="0.35">
      <c r="B43" s="3"/>
      <c r="E43" s="43"/>
      <c r="F43" s="43"/>
      <c r="G43" s="43"/>
      <c r="H43" s="43"/>
      <c r="I43" s="43"/>
      <c r="J43" s="43"/>
      <c r="K43" s="43"/>
      <c r="L43" s="43"/>
      <c r="M43" s="43"/>
      <c r="N43" s="43"/>
    </row>
    <row r="44" spans="2:14" x14ac:dyDescent="0.35">
      <c r="B44" t="s">
        <v>18</v>
      </c>
      <c r="E44" s="63" t="s">
        <v>10</v>
      </c>
      <c r="F44" s="199">
        <v>11.65</v>
      </c>
      <c r="G44" s="199">
        <v>10.52</v>
      </c>
      <c r="H44" s="199">
        <v>10.3</v>
      </c>
      <c r="I44" s="199">
        <v>9.6999999999999993</v>
      </c>
      <c r="J44" s="200">
        <f>I44*(1+J45)</f>
        <v>9.8940000000000001</v>
      </c>
      <c r="K44" s="200">
        <f>J44*(1+K45)</f>
        <v>10.09188</v>
      </c>
      <c r="L44" s="200">
        <f>K44*(1+L45)</f>
        <v>10.243258199999998</v>
      </c>
      <c r="M44" s="200">
        <f>L44*(1+M45)</f>
        <v>10.396907072999998</v>
      </c>
      <c r="N44" s="200">
        <f>M44*(1+N45)</f>
        <v>10.500876143729998</v>
      </c>
    </row>
    <row r="45" spans="2:14" s="5" customFormat="1" x14ac:dyDescent="0.35">
      <c r="B45" s="5" t="s">
        <v>13</v>
      </c>
      <c r="E45" s="73"/>
      <c r="F45" s="74" t="s">
        <v>12</v>
      </c>
      <c r="G45" s="67">
        <f>(G44-F44)/F44</f>
        <v>-9.6995708154506505E-2</v>
      </c>
      <c r="H45" s="67">
        <f>(H44-G44)/G44</f>
        <v>-2.0912547528517005E-2</v>
      </c>
      <c r="I45" s="67">
        <f>(I44-H44)/H44</f>
        <v>-5.8252427184466153E-2</v>
      </c>
      <c r="J45" s="4">
        <v>0.02</v>
      </c>
      <c r="K45" s="4">
        <v>0.02</v>
      </c>
      <c r="L45" s="205">
        <v>1.4999999999999999E-2</v>
      </c>
      <c r="M45" s="205">
        <v>1.4999999999999999E-2</v>
      </c>
      <c r="N45" s="4">
        <v>0.01</v>
      </c>
    </row>
    <row r="46" spans="2:14" x14ac:dyDescent="0.35">
      <c r="B46" t="s">
        <v>17</v>
      </c>
      <c r="E46" s="63" t="s">
        <v>10</v>
      </c>
      <c r="F46" s="199">
        <v>3.6</v>
      </c>
      <c r="G46" s="199">
        <v>4.0999999999999996</v>
      </c>
      <c r="H46" s="199">
        <v>5.4</v>
      </c>
      <c r="I46" s="199">
        <v>6.9</v>
      </c>
      <c r="J46" s="200">
        <f>I46*(1+J47)</f>
        <v>8.2799999999999994</v>
      </c>
      <c r="K46" s="200">
        <f>J46*(1+K47)</f>
        <v>9.4391999999999996</v>
      </c>
      <c r="L46" s="200">
        <f>K46*(1+L47)</f>
        <v>10.38312</v>
      </c>
      <c r="M46" s="200">
        <f>L46*(1+M47)</f>
        <v>11.109938400000001</v>
      </c>
      <c r="N46" s="200">
        <f>M46*(1+N47)</f>
        <v>11.554335936000001</v>
      </c>
    </row>
    <row r="47" spans="2:14" s="5" customFormat="1" x14ac:dyDescent="0.35">
      <c r="B47" s="5" t="s">
        <v>13</v>
      </c>
      <c r="E47" s="73"/>
      <c r="F47" s="74" t="s">
        <v>12</v>
      </c>
      <c r="G47" s="67">
        <f>(G46-F46)/F46</f>
        <v>0.13888888888888876</v>
      </c>
      <c r="H47" s="67">
        <f>(H46-G46)/G46</f>
        <v>0.31707317073170754</v>
      </c>
      <c r="I47" s="67">
        <f>(I46-H46)/H46</f>
        <v>0.27777777777777773</v>
      </c>
      <c r="J47" s="4">
        <v>0.2</v>
      </c>
      <c r="K47" s="4">
        <v>0.14000000000000001</v>
      </c>
      <c r="L47" s="4">
        <v>0.1</v>
      </c>
      <c r="M47" s="4">
        <v>7.0000000000000007E-2</v>
      </c>
      <c r="N47" s="4">
        <v>0.04</v>
      </c>
    </row>
    <row r="48" spans="2:14" x14ac:dyDescent="0.35">
      <c r="B48" t="s">
        <v>16</v>
      </c>
      <c r="E48" s="63" t="s">
        <v>10</v>
      </c>
      <c r="F48" s="199">
        <v>3.05</v>
      </c>
      <c r="G48" s="199">
        <v>3.59</v>
      </c>
      <c r="H48" s="199">
        <v>3.8</v>
      </c>
      <c r="I48" s="199">
        <v>3.3</v>
      </c>
      <c r="J48" s="200">
        <f>I48*(1+J49)</f>
        <v>3.4143626601551138</v>
      </c>
      <c r="K48" s="200">
        <f>J48*(1+K49)</f>
        <v>3.5167935399597674</v>
      </c>
      <c r="L48" s="200">
        <f>K48*(1+L49)</f>
        <v>3.6222973461585606</v>
      </c>
      <c r="M48" s="200">
        <f>L48*(1+M49)</f>
        <v>3.7309662665433176</v>
      </c>
      <c r="N48" s="200">
        <f>M48*(1+N49)</f>
        <v>3.8428952545396173</v>
      </c>
    </row>
    <row r="49" spans="2:14" s="5" customFormat="1" x14ac:dyDescent="0.35">
      <c r="B49" s="5" t="s">
        <v>13</v>
      </c>
      <c r="E49" s="73"/>
      <c r="F49" s="74" t="s">
        <v>12</v>
      </c>
      <c r="G49" s="67">
        <f>(G48-F48)/F48</f>
        <v>0.17704918032786887</v>
      </c>
      <c r="H49" s="67">
        <f>(H48-G48)/G48</f>
        <v>5.849582172701949E-2</v>
      </c>
      <c r="I49" s="67">
        <f>(I48-H48)/H48</f>
        <v>-0.13157894736842105</v>
      </c>
      <c r="J49" s="4">
        <f>AVERAGE(G49:I49)</f>
        <v>3.4655351562155774E-2</v>
      </c>
      <c r="K49" s="4">
        <v>0.03</v>
      </c>
      <c r="L49" s="4">
        <v>0.03</v>
      </c>
      <c r="M49" s="4">
        <v>0.03</v>
      </c>
      <c r="N49" s="4">
        <v>0.03</v>
      </c>
    </row>
    <row r="50" spans="2:14" x14ac:dyDescent="0.35">
      <c r="B50" t="s">
        <v>15</v>
      </c>
      <c r="E50" s="63" t="s">
        <v>10</v>
      </c>
      <c r="F50" s="199">
        <v>27.45</v>
      </c>
      <c r="G50" s="199">
        <v>32.65</v>
      </c>
      <c r="H50" s="199">
        <v>33.6</v>
      </c>
      <c r="I50" s="199">
        <v>34.799999999999997</v>
      </c>
      <c r="J50" s="200">
        <f>I50*(1+J51)</f>
        <v>37.749254765630631</v>
      </c>
      <c r="K50" s="200">
        <f>J50*(1+K51)</f>
        <v>39.631174197871658</v>
      </c>
      <c r="L50" s="200">
        <f>K50*(1+L51)</f>
        <v>41.881117074608724</v>
      </c>
      <c r="M50" s="200">
        <f>L50*(1+M51)</f>
        <v>44.552767999606438</v>
      </c>
      <c r="N50" s="200">
        <f>M50*(1+N51)</f>
        <v>47.083610290096622</v>
      </c>
    </row>
    <row r="51" spans="2:14" s="5" customFormat="1" x14ac:dyDescent="0.35">
      <c r="B51" s="5" t="s">
        <v>13</v>
      </c>
      <c r="E51" s="73"/>
      <c r="F51" s="74" t="s">
        <v>12</v>
      </c>
      <c r="G51" s="67">
        <f>(G50-F50)/F50</f>
        <v>0.18943533697632056</v>
      </c>
      <c r="H51" s="67">
        <f>(H50-G50)/G50</f>
        <v>2.9096477794793352E-2</v>
      </c>
      <c r="I51" s="67">
        <f>(I50-H50)/H50</f>
        <v>3.5714285714285587E-2</v>
      </c>
      <c r="J51" s="4">
        <f>AVERAGE(G51:I51)</f>
        <v>8.4748700161799848E-2</v>
      </c>
      <c r="K51" s="4">
        <f t="shared" ref="K51:N51" si="12">AVERAGE(H51:J51)</f>
        <v>4.98531545569596E-2</v>
      </c>
      <c r="L51" s="4">
        <f t="shared" si="12"/>
        <v>5.6772046811015019E-2</v>
      </c>
      <c r="M51" s="4">
        <f t="shared" si="12"/>
        <v>6.3791300509924834E-2</v>
      </c>
      <c r="N51" s="4">
        <f t="shared" si="12"/>
        <v>5.6805500625966489E-2</v>
      </c>
    </row>
    <row r="52" spans="2:14" x14ac:dyDescent="0.35">
      <c r="B52" t="s">
        <v>14</v>
      </c>
      <c r="E52" s="63" t="s">
        <v>10</v>
      </c>
      <c r="F52" s="199">
        <v>0.67</v>
      </c>
      <c r="G52" s="199">
        <v>0.69</v>
      </c>
      <c r="H52" s="199">
        <v>0.9</v>
      </c>
      <c r="I52" s="199">
        <v>0.7</v>
      </c>
      <c r="J52" s="200">
        <f>I52*(1+J53)</f>
        <v>0.875</v>
      </c>
      <c r="K52" s="200">
        <f>J52*(1+K53)</f>
        <v>1.05</v>
      </c>
      <c r="L52" s="200">
        <f>K52*(1+L53)</f>
        <v>1.2389999999999999</v>
      </c>
      <c r="M52" s="200">
        <f>L52*(1+M53)</f>
        <v>1.4248499999999997</v>
      </c>
      <c r="N52" s="200">
        <f>M52*(1+N53)</f>
        <v>1.5958319999999999</v>
      </c>
    </row>
    <row r="53" spans="2:14" s="5" customFormat="1" x14ac:dyDescent="0.35">
      <c r="B53" s="5" t="s">
        <v>13</v>
      </c>
      <c r="E53" s="73"/>
      <c r="F53" s="74" t="s">
        <v>12</v>
      </c>
      <c r="G53" s="67">
        <f>(G52-F52)/F52</f>
        <v>2.9850746268656577E-2</v>
      </c>
      <c r="H53" s="67">
        <f>(H52-G52)/G52</f>
        <v>0.30434782608695665</v>
      </c>
      <c r="I53" s="67">
        <f>(I52-H52)/H52</f>
        <v>-0.22222222222222229</v>
      </c>
      <c r="J53" s="4">
        <v>0.25</v>
      </c>
      <c r="K53" s="4">
        <v>0.2</v>
      </c>
      <c r="L53" s="4">
        <v>0.18</v>
      </c>
      <c r="M53" s="4">
        <v>0.15</v>
      </c>
      <c r="N53" s="4">
        <v>0.12</v>
      </c>
    </row>
    <row r="54" spans="2:14" x14ac:dyDescent="0.35">
      <c r="B54" t="s">
        <v>11</v>
      </c>
      <c r="E54" s="63" t="s">
        <v>10</v>
      </c>
      <c r="F54" s="199">
        <f t="shared" ref="F54:N54" si="13">F44+F46+F48+F50+F52</f>
        <v>46.42</v>
      </c>
      <c r="G54" s="199">
        <f t="shared" si="13"/>
        <v>51.55</v>
      </c>
      <c r="H54" s="199">
        <f t="shared" si="13"/>
        <v>54</v>
      </c>
      <c r="I54" s="199">
        <f t="shared" si="13"/>
        <v>55.400000000000006</v>
      </c>
      <c r="J54" s="200">
        <f t="shared" si="13"/>
        <v>60.212617425785744</v>
      </c>
      <c r="K54" s="200">
        <f t="shared" si="13"/>
        <v>63.729047737831422</v>
      </c>
      <c r="L54" s="200">
        <f t="shared" si="13"/>
        <v>67.368792620767294</v>
      </c>
      <c r="M54" s="200">
        <f t="shared" si="13"/>
        <v>71.215429739149769</v>
      </c>
      <c r="N54" s="200">
        <f t="shared" si="13"/>
        <v>74.577549624366242</v>
      </c>
    </row>
    <row r="56" spans="2:14" x14ac:dyDescent="0.35">
      <c r="B56" s="3" t="s">
        <v>9</v>
      </c>
    </row>
    <row r="57" spans="2:14" x14ac:dyDescent="0.35">
      <c r="B57" s="3" t="s">
        <v>47</v>
      </c>
    </row>
    <row r="58" spans="2:14" ht="58" x14ac:dyDescent="0.35">
      <c r="B58" s="8" t="s">
        <v>290</v>
      </c>
    </row>
    <row r="60" spans="2:14" x14ac:dyDescent="0.35">
      <c r="B60" s="2" t="s">
        <v>8</v>
      </c>
    </row>
    <row r="61" spans="2:14" x14ac:dyDescent="0.35">
      <c r="B61" t="s">
        <v>7</v>
      </c>
    </row>
    <row r="62" spans="2:14" x14ac:dyDescent="0.35">
      <c r="B62" t="s">
        <v>6</v>
      </c>
    </row>
    <row r="63" spans="2:14" x14ac:dyDescent="0.35">
      <c r="B63" t="s">
        <v>5</v>
      </c>
    </row>
    <row r="64" spans="2:14" ht="29" x14ac:dyDescent="0.35">
      <c r="B64" s="1" t="s">
        <v>4</v>
      </c>
    </row>
    <row r="65" spans="2:2" x14ac:dyDescent="0.35">
      <c r="B65" t="s">
        <v>3</v>
      </c>
    </row>
    <row r="66" spans="2:2" x14ac:dyDescent="0.35">
      <c r="B66" t="s">
        <v>2</v>
      </c>
    </row>
    <row r="67" spans="2:2" x14ac:dyDescent="0.35">
      <c r="B67" t="s">
        <v>1</v>
      </c>
    </row>
    <row r="68" spans="2:2" x14ac:dyDescent="0.35">
      <c r="B68" t="s">
        <v>0</v>
      </c>
    </row>
    <row r="70" spans="2:2" x14ac:dyDescent="0.35">
      <c r="B70" s="3"/>
    </row>
    <row r="78" spans="2:2" x14ac:dyDescent="0.35">
      <c r="B78" t="s">
        <v>281</v>
      </c>
    </row>
    <row r="79" spans="2:2" x14ac:dyDescent="0.35">
      <c r="B79" t="s">
        <v>280</v>
      </c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6A59-13AC-4204-8A1F-918EC69C23A4}">
  <dimension ref="B2:P122"/>
  <sheetViews>
    <sheetView showGridLines="0" topLeftCell="A52" zoomScale="87" zoomScaleNormal="87" workbookViewId="0">
      <selection activeCell="E61" sqref="E61:I61"/>
    </sheetView>
  </sheetViews>
  <sheetFormatPr defaultRowHeight="14.5" x14ac:dyDescent="0.35"/>
  <cols>
    <col min="1" max="1" width="1.81640625" customWidth="1"/>
    <col min="2" max="2" width="34.453125" bestFit="1" customWidth="1"/>
    <col min="3" max="3" width="19.08984375" customWidth="1"/>
    <col min="5" max="5" width="12.36328125" customWidth="1"/>
    <col min="6" max="6" width="13.6328125" customWidth="1"/>
    <col min="7" max="7" width="11.90625" customWidth="1"/>
    <col min="8" max="9" width="13" customWidth="1"/>
    <col min="10" max="14" width="11.36328125" bestFit="1" customWidth="1"/>
    <col min="16" max="16" width="8.7265625" customWidth="1"/>
  </cols>
  <sheetData>
    <row r="2" spans="2:14" x14ac:dyDescent="0.35">
      <c r="B2" s="19" t="s">
        <v>143</v>
      </c>
      <c r="C2" s="20" t="s">
        <v>50</v>
      </c>
      <c r="D2" s="19"/>
      <c r="E2" s="19" t="s">
        <v>45</v>
      </c>
      <c r="F2" s="19" t="s">
        <v>44</v>
      </c>
      <c r="G2" s="19" t="s">
        <v>43</v>
      </c>
      <c r="H2" s="19" t="s">
        <v>42</v>
      </c>
      <c r="I2" s="19" t="s">
        <v>41</v>
      </c>
      <c r="J2" s="19" t="s">
        <v>40</v>
      </c>
      <c r="K2" s="19" t="s">
        <v>39</v>
      </c>
      <c r="L2" s="19" t="s">
        <v>38</v>
      </c>
      <c r="M2" s="19" t="s">
        <v>37</v>
      </c>
      <c r="N2" s="19" t="s">
        <v>36</v>
      </c>
    </row>
    <row r="4" spans="2:14" x14ac:dyDescent="0.35">
      <c r="B4" t="s">
        <v>119</v>
      </c>
      <c r="E4" s="43">
        <f>'Balance Sheet '!E5</f>
        <v>5550.67</v>
      </c>
      <c r="F4" s="43">
        <f>'Balance Sheet '!F5</f>
        <v>5354.34</v>
      </c>
      <c r="G4" s="43">
        <f>'Balance Sheet '!G5</f>
        <v>5159.42</v>
      </c>
      <c r="H4" s="43">
        <f>'Balance Sheet '!H5</f>
        <v>5212.58</v>
      </c>
      <c r="I4" s="43">
        <f>'Balance Sheet '!I5</f>
        <v>5219.13</v>
      </c>
      <c r="J4" s="43">
        <f>J11</f>
        <v>5622.77228135105</v>
      </c>
      <c r="K4" s="43">
        <f t="shared" ref="K4:N4" si="0">K11</f>
        <v>6126.4819774664356</v>
      </c>
      <c r="L4" s="43">
        <f t="shared" si="0"/>
        <v>6664.6925966834406</v>
      </c>
      <c r="M4" s="43">
        <f t="shared" si="0"/>
        <v>7242.9200879369964</v>
      </c>
      <c r="N4" s="43">
        <f t="shared" si="0"/>
        <v>7868.2905720161452</v>
      </c>
    </row>
    <row r="5" spans="2:14" x14ac:dyDescent="0.35">
      <c r="B5" t="s">
        <v>55</v>
      </c>
      <c r="E5" s="43">
        <f>'Balance Sheet '!E7</f>
        <v>511.24</v>
      </c>
      <c r="F5" s="43">
        <f>'Balance Sheet '!F7</f>
        <v>517.9</v>
      </c>
      <c r="G5" s="43">
        <f>'Balance Sheet '!G7</f>
        <v>481.28</v>
      </c>
      <c r="H5" s="43">
        <f>'Balance Sheet '!H7</f>
        <v>475.97</v>
      </c>
      <c r="I5" s="43">
        <f>'Balance Sheet '!I7</f>
        <v>483.39</v>
      </c>
      <c r="J5" s="43">
        <f>J15</f>
        <v>519.48850308966712</v>
      </c>
      <c r="K5" s="43">
        <f t="shared" ref="K5:N5" si="1">K15</f>
        <v>555.60340333076101</v>
      </c>
      <c r="L5" s="43">
        <f t="shared" si="1"/>
        <v>583.34714270202767</v>
      </c>
      <c r="M5" s="43">
        <f t="shared" si="1"/>
        <v>616.08170391929275</v>
      </c>
      <c r="N5" s="43">
        <f t="shared" si="1"/>
        <v>651.33106850083141</v>
      </c>
    </row>
    <row r="6" spans="2:14" x14ac:dyDescent="0.35">
      <c r="B6" t="s">
        <v>124</v>
      </c>
      <c r="E6" s="43">
        <f>'Balance Sheet '!E8</f>
        <v>318.48</v>
      </c>
      <c r="F6" s="43">
        <f>'Balance Sheet '!F8</f>
        <v>321.3</v>
      </c>
      <c r="G6" s="43">
        <f>'Balance Sheet '!G8</f>
        <v>518.5</v>
      </c>
      <c r="H6" s="43">
        <f>'Balance Sheet '!H8</f>
        <v>543.65</v>
      </c>
      <c r="I6" s="43">
        <f>'Balance Sheet '!I8</f>
        <v>580.46</v>
      </c>
      <c r="J6" s="43">
        <f>J19</f>
        <v>779.28489579569941</v>
      </c>
      <c r="K6" s="43">
        <f t="shared" ref="K6:N6" si="2">K19</f>
        <v>848.41352344736788</v>
      </c>
      <c r="L6" s="43">
        <f t="shared" si="2"/>
        <v>927.63771033708781</v>
      </c>
      <c r="M6" s="43">
        <f t="shared" si="2"/>
        <v>1019.7032770777205</v>
      </c>
      <c r="N6" s="43">
        <f t="shared" si="2"/>
        <v>1135.9969319757911</v>
      </c>
    </row>
    <row r="7" spans="2:14" x14ac:dyDescent="0.35">
      <c r="E7" s="43"/>
      <c r="F7" s="43"/>
      <c r="G7" s="43"/>
      <c r="H7" s="43"/>
      <c r="I7" s="43"/>
      <c r="J7" s="43"/>
      <c r="K7" s="43"/>
      <c r="L7" s="43"/>
      <c r="M7" s="43"/>
      <c r="N7" s="43"/>
    </row>
    <row r="8" spans="2:14" x14ac:dyDescent="0.35">
      <c r="B8" s="3" t="s">
        <v>119</v>
      </c>
      <c r="E8" s="43"/>
      <c r="F8" s="43"/>
      <c r="G8" s="43"/>
      <c r="H8" s="43"/>
      <c r="I8" s="43"/>
      <c r="J8" s="43"/>
      <c r="K8" s="43"/>
      <c r="L8" s="43"/>
      <c r="M8" s="43"/>
      <c r="N8" s="43"/>
    </row>
    <row r="9" spans="2:14" x14ac:dyDescent="0.35">
      <c r="B9" t="s">
        <v>120</v>
      </c>
      <c r="E9" s="43">
        <v>10066.969999999999</v>
      </c>
      <c r="F9" s="43">
        <v>10347.540000000001</v>
      </c>
      <c r="G9" s="43">
        <v>10653.19</v>
      </c>
      <c r="H9" s="43">
        <v>11174.48</v>
      </c>
      <c r="I9" s="43">
        <v>11699.01</v>
      </c>
      <c r="J9" s="43">
        <f>I9+J33</f>
        <v>12800.754000000001</v>
      </c>
      <c r="K9" s="43">
        <f t="shared" ref="K9:M9" si="3">J9+K33</f>
        <v>14057.337093568112</v>
      </c>
      <c r="L9" s="43">
        <f t="shared" si="3"/>
        <v>15412.50920898302</v>
      </c>
      <c r="M9" s="43">
        <f t="shared" si="3"/>
        <v>16883.039902139244</v>
      </c>
      <c r="N9" s="43">
        <f>M9+N33</f>
        <v>18489.185665564048</v>
      </c>
    </row>
    <row r="10" spans="2:14" x14ac:dyDescent="0.35">
      <c r="B10" t="s">
        <v>121</v>
      </c>
      <c r="E10" s="43">
        <v>4516.3</v>
      </c>
      <c r="F10" s="43">
        <v>4993.2</v>
      </c>
      <c r="G10" s="43">
        <v>5493.77</v>
      </c>
      <c r="H10" s="43">
        <v>5961.9</v>
      </c>
      <c r="I10" s="43">
        <v>6479.88</v>
      </c>
      <c r="J10" s="43">
        <f>I10+J22</f>
        <v>7177.9817186489508</v>
      </c>
      <c r="K10" s="43">
        <f t="shared" ref="K10:M10" si="4">J10+K22</f>
        <v>7930.8551161016767</v>
      </c>
      <c r="L10" s="43">
        <f t="shared" si="4"/>
        <v>8747.816612299579</v>
      </c>
      <c r="M10" s="43">
        <f t="shared" si="4"/>
        <v>9640.1198142022477</v>
      </c>
      <c r="N10" s="43">
        <f>M10+N22</f>
        <v>10620.895093547902</v>
      </c>
    </row>
    <row r="11" spans="2:14" x14ac:dyDescent="0.35">
      <c r="B11" t="s">
        <v>122</v>
      </c>
      <c r="E11" s="43">
        <f t="shared" ref="E11:G11" si="5">E9-E10</f>
        <v>5550.6699999999992</v>
      </c>
      <c r="F11" s="43">
        <f t="shared" si="5"/>
        <v>5354.3400000000011</v>
      </c>
      <c r="G11" s="43">
        <f t="shared" si="5"/>
        <v>5159.42</v>
      </c>
      <c r="H11" s="43">
        <f>H9-H10</f>
        <v>5212.58</v>
      </c>
      <c r="I11" s="43">
        <f>I9-I10</f>
        <v>5219.13</v>
      </c>
      <c r="J11" s="43">
        <f>J9-J10</f>
        <v>5622.77228135105</v>
      </c>
      <c r="K11" s="43">
        <f t="shared" ref="K11:M11" si="6">K9-K10</f>
        <v>6126.4819774664356</v>
      </c>
      <c r="L11" s="43">
        <f t="shared" si="6"/>
        <v>6664.6925966834406</v>
      </c>
      <c r="M11" s="43">
        <f t="shared" si="6"/>
        <v>7242.9200879369964</v>
      </c>
      <c r="N11" s="43">
        <f>N9-N10</f>
        <v>7868.2905720161452</v>
      </c>
    </row>
    <row r="12" spans="2:14" x14ac:dyDescent="0.35">
      <c r="B12" s="3" t="s">
        <v>55</v>
      </c>
      <c r="E12" s="43"/>
      <c r="F12" s="43"/>
      <c r="G12" s="43"/>
      <c r="H12" s="43"/>
      <c r="I12" s="43"/>
      <c r="J12" s="43"/>
      <c r="K12" s="43"/>
      <c r="L12" s="43"/>
      <c r="M12" s="43"/>
      <c r="N12" s="43"/>
    </row>
    <row r="13" spans="2:14" x14ac:dyDescent="0.35">
      <c r="B13" t="s">
        <v>120</v>
      </c>
      <c r="E13" s="43">
        <v>609.1</v>
      </c>
      <c r="F13" s="43">
        <v>650.26</v>
      </c>
      <c r="G13" s="43">
        <v>645.07000000000005</v>
      </c>
      <c r="H13" s="43">
        <v>615.20000000000005</v>
      </c>
      <c r="I13" s="43">
        <v>657.38</v>
      </c>
      <c r="J13" s="43">
        <f>I13+J39</f>
        <v>736.61599999999999</v>
      </c>
      <c r="K13" s="43">
        <f t="shared" ref="K13:M13" si="7">J13+K39</f>
        <v>814.26349443859908</v>
      </c>
      <c r="L13" s="43">
        <f t="shared" si="7"/>
        <v>889.02216399410861</v>
      </c>
      <c r="M13" s="43">
        <f t="shared" si="7"/>
        <v>973.64903832574566</v>
      </c>
      <c r="N13" s="43">
        <f>M13+N39</f>
        <v>1067.0552019316153</v>
      </c>
    </row>
    <row r="14" spans="2:14" x14ac:dyDescent="0.35">
      <c r="B14" t="s">
        <v>123</v>
      </c>
      <c r="E14" s="43">
        <v>97.86</v>
      </c>
      <c r="F14" s="43">
        <v>132.36000000000001</v>
      </c>
      <c r="G14" s="43">
        <v>163.79</v>
      </c>
      <c r="H14" s="43">
        <v>139.22999999999999</v>
      </c>
      <c r="I14" s="43">
        <v>173.99</v>
      </c>
      <c r="J14" s="43">
        <f>I14+J26</f>
        <v>217.12749691033284</v>
      </c>
      <c r="K14" s="43">
        <f t="shared" ref="K14:M14" si="8">J14+K26</f>
        <v>258.66009110783813</v>
      </c>
      <c r="L14" s="43">
        <f t="shared" si="8"/>
        <v>305.67502129208094</v>
      </c>
      <c r="M14" s="43">
        <f t="shared" si="8"/>
        <v>357.56733440645297</v>
      </c>
      <c r="N14" s="43">
        <f>M14+N26</f>
        <v>415.72413343078392</v>
      </c>
    </row>
    <row r="15" spans="2:14" x14ac:dyDescent="0.35">
      <c r="B15" t="s">
        <v>122</v>
      </c>
      <c r="E15" s="43">
        <f>E13-E14</f>
        <v>511.24</v>
      </c>
      <c r="F15" s="43">
        <f t="shared" ref="F15:J15" si="9">F13-F14</f>
        <v>517.9</v>
      </c>
      <c r="G15" s="43">
        <f t="shared" si="9"/>
        <v>481.28000000000009</v>
      </c>
      <c r="H15" s="43">
        <f t="shared" si="9"/>
        <v>475.97</v>
      </c>
      <c r="I15" s="43">
        <f t="shared" si="9"/>
        <v>483.39</v>
      </c>
      <c r="J15" s="43">
        <f t="shared" si="9"/>
        <v>519.48850308966712</v>
      </c>
      <c r="K15" s="43">
        <f t="shared" ref="K15:N15" si="10">K13-K14</f>
        <v>555.60340333076101</v>
      </c>
      <c r="L15" s="43">
        <f t="shared" si="10"/>
        <v>583.34714270202767</v>
      </c>
      <c r="M15" s="43">
        <f t="shared" si="10"/>
        <v>616.08170391929275</v>
      </c>
      <c r="N15" s="43">
        <f t="shared" si="10"/>
        <v>651.33106850083141</v>
      </c>
    </row>
    <row r="16" spans="2:14" x14ac:dyDescent="0.35">
      <c r="B16" s="3" t="s">
        <v>124</v>
      </c>
      <c r="E16" s="43"/>
      <c r="F16" s="43"/>
      <c r="G16" s="43"/>
      <c r="H16" s="43"/>
      <c r="I16" s="43"/>
      <c r="J16" s="43"/>
      <c r="K16" s="43"/>
      <c r="L16" s="43"/>
      <c r="M16" s="43"/>
      <c r="N16" s="43"/>
    </row>
    <row r="17" spans="2:16" x14ac:dyDescent="0.35">
      <c r="B17" t="s">
        <v>120</v>
      </c>
      <c r="E17" s="43">
        <v>4147.9399999999996</v>
      </c>
      <c r="F17" s="43">
        <v>4202.16</v>
      </c>
      <c r="G17" s="43">
        <v>4468</v>
      </c>
      <c r="H17" s="43">
        <v>4625.09</v>
      </c>
      <c r="I17" s="43">
        <v>4830.16</v>
      </c>
      <c r="J17" s="43">
        <f>I17+J36</f>
        <v>5133.442</v>
      </c>
      <c r="K17" s="43">
        <f t="shared" ref="K17:M17" si="11">J17+K36</f>
        <v>5321.464787567741</v>
      </c>
      <c r="L17" s="43">
        <f t="shared" si="11"/>
        <v>5535.4742754166718</v>
      </c>
      <c r="M17" s="43">
        <f t="shared" si="11"/>
        <v>5778.0878171432514</v>
      </c>
      <c r="N17" s="43">
        <f>M17+N36</f>
        <v>6049.0741721179566</v>
      </c>
    </row>
    <row r="18" spans="2:16" x14ac:dyDescent="0.35">
      <c r="B18" t="s">
        <v>123</v>
      </c>
      <c r="D18" t="s">
        <v>125</v>
      </c>
      <c r="E18" s="43">
        <v>3829.46</v>
      </c>
      <c r="F18" s="43">
        <v>3880.86</v>
      </c>
      <c r="G18" s="43">
        <v>3949.5</v>
      </c>
      <c r="H18" s="43">
        <v>4081.44</v>
      </c>
      <c r="I18" s="43">
        <v>4249.7</v>
      </c>
      <c r="J18" s="43">
        <f>I18+J24</f>
        <v>4354.1571042043006</v>
      </c>
      <c r="K18" s="43">
        <f t="shared" ref="K18:M18" si="12">J18+K24</f>
        <v>4473.0512641203732</v>
      </c>
      <c r="L18" s="43">
        <f t="shared" si="12"/>
        <v>4607.836565079584</v>
      </c>
      <c r="M18" s="43">
        <f t="shared" si="12"/>
        <v>4758.3845400655309</v>
      </c>
      <c r="N18" s="43">
        <f>M18+N24</f>
        <v>4913.0772401421655</v>
      </c>
    </row>
    <row r="19" spans="2:16" x14ac:dyDescent="0.35">
      <c r="B19" t="s">
        <v>122</v>
      </c>
      <c r="E19" s="43">
        <f>E17-E18</f>
        <v>318.47999999999956</v>
      </c>
      <c r="F19" s="43">
        <f t="shared" ref="F19:J19" si="13">F17-F18</f>
        <v>321.29999999999973</v>
      </c>
      <c r="G19" s="43">
        <f t="shared" si="13"/>
        <v>518.5</v>
      </c>
      <c r="H19" s="43">
        <f t="shared" si="13"/>
        <v>543.65000000000009</v>
      </c>
      <c r="I19" s="43">
        <f t="shared" si="13"/>
        <v>580.46</v>
      </c>
      <c r="J19" s="43">
        <f t="shared" si="13"/>
        <v>779.28489579569941</v>
      </c>
      <c r="K19" s="43">
        <f t="shared" ref="K19:N19" si="14">K17-K18</f>
        <v>848.41352344736788</v>
      </c>
      <c r="L19" s="43">
        <f t="shared" si="14"/>
        <v>927.63771033708781</v>
      </c>
      <c r="M19" s="43">
        <f t="shared" si="14"/>
        <v>1019.7032770777205</v>
      </c>
      <c r="N19" s="43">
        <f t="shared" si="14"/>
        <v>1135.9969319757911</v>
      </c>
    </row>
    <row r="22" spans="2:16" x14ac:dyDescent="0.35">
      <c r="B22" t="s">
        <v>127</v>
      </c>
      <c r="E22" s="43">
        <v>620.28</v>
      </c>
      <c r="F22" s="43">
        <v>603.85</v>
      </c>
      <c r="G22" s="43">
        <v>591.91</v>
      </c>
      <c r="H22" s="43">
        <v>592.39</v>
      </c>
      <c r="I22" s="43">
        <v>612.08000000000004</v>
      </c>
      <c r="J22" s="43">
        <f>J23*AVERAGE(I9:J9)</f>
        <v>698.1017186489504</v>
      </c>
      <c r="K22" s="43">
        <f t="shared" ref="K22:N22" si="15">K23*AVERAGE(J9:K9)</f>
        <v>752.87339745272584</v>
      </c>
      <c r="L22" s="43">
        <f t="shared" si="15"/>
        <v>816.96149619790276</v>
      </c>
      <c r="M22" s="43">
        <f t="shared" si="15"/>
        <v>892.30320190266889</v>
      </c>
      <c r="N22" s="43">
        <f t="shared" si="15"/>
        <v>980.77527934565535</v>
      </c>
    </row>
    <row r="23" spans="2:16" x14ac:dyDescent="0.35">
      <c r="B23" t="s">
        <v>128</v>
      </c>
      <c r="E23" s="16">
        <f t="shared" ref="E23:H23" si="16">E22/AVERAGE(D9:E9)</f>
        <v>6.1615361921213634E-2</v>
      </c>
      <c r="F23" s="16">
        <f t="shared" si="16"/>
        <v>5.9158902173013214E-2</v>
      </c>
      <c r="G23" s="16">
        <f t="shared" si="16"/>
        <v>5.6370421409160529E-2</v>
      </c>
      <c r="H23" s="16">
        <f t="shared" si="16"/>
        <v>5.4278812168225013E-2</v>
      </c>
      <c r="I23" s="16">
        <f>I22/AVERAGE(H9:I9)</f>
        <v>5.3518724077523817E-2</v>
      </c>
      <c r="J23" s="17">
        <f>AVERAGE(E23:I23)</f>
        <v>5.6988444349827236E-2</v>
      </c>
      <c r="K23" s="17">
        <f t="shared" ref="K23:N23" si="17">AVERAGE(F23:J23)</f>
        <v>5.606306083554996E-2</v>
      </c>
      <c r="L23" s="17">
        <f t="shared" si="17"/>
        <v>5.5443892568057304E-2</v>
      </c>
      <c r="M23" s="17">
        <f t="shared" si="17"/>
        <v>5.5258586799836674E-2</v>
      </c>
      <c r="N23" s="17">
        <f t="shared" si="17"/>
        <v>5.5454541726159004E-2</v>
      </c>
    </row>
    <row r="24" spans="2:16" x14ac:dyDescent="0.35">
      <c r="B24" t="s">
        <v>129</v>
      </c>
      <c r="E24" s="43">
        <v>50.13</v>
      </c>
      <c r="F24" s="43">
        <v>51.43</v>
      </c>
      <c r="G24" s="43">
        <v>68.959999999999994</v>
      </c>
      <c r="H24" s="43">
        <v>131.34</v>
      </c>
      <c r="I24" s="43">
        <v>168.49</v>
      </c>
      <c r="J24" s="43">
        <f>J25*AVERAGE(I17:J17)</f>
        <v>104.45710420430071</v>
      </c>
      <c r="K24" s="43">
        <f t="shared" ref="K24:N24" si="18">K25*AVERAGE(J17:K17)</f>
        <v>118.89415991607284</v>
      </c>
      <c r="L24" s="43">
        <f t="shared" si="18"/>
        <v>134.78530095921064</v>
      </c>
      <c r="M24" s="43">
        <f t="shared" si="18"/>
        <v>150.54797498594732</v>
      </c>
      <c r="N24" s="43">
        <f t="shared" si="18"/>
        <v>154.6927000766342</v>
      </c>
    </row>
    <row r="25" spans="2:16" x14ac:dyDescent="0.35">
      <c r="B25" t="s">
        <v>128</v>
      </c>
      <c r="E25" s="16">
        <f t="shared" ref="E25:H25" si="19">E24/AVERAGE(D17:E17)</f>
        <v>1.2085517148271193E-2</v>
      </c>
      <c r="F25" s="16">
        <f t="shared" si="19"/>
        <v>1.2318415348319183E-2</v>
      </c>
      <c r="G25" s="16">
        <f t="shared" si="19"/>
        <v>1.5907434234200983E-2</v>
      </c>
      <c r="H25" s="16">
        <f t="shared" si="19"/>
        <v>2.8887869800034972E-2</v>
      </c>
      <c r="I25" s="16">
        <f>I24/AVERAGE(H17:I17)</f>
        <v>3.5639459559503983E-2</v>
      </c>
      <c r="J25" s="17">
        <f>AVERAGE(E25:I25)</f>
        <v>2.0967739218066061E-2</v>
      </c>
      <c r="K25" s="17">
        <f t="shared" ref="K25:N25" si="20">AVERAGE(F25:J25)</f>
        <v>2.2744183632025038E-2</v>
      </c>
      <c r="L25" s="17">
        <f t="shared" si="20"/>
        <v>2.4829337288766205E-2</v>
      </c>
      <c r="M25" s="17">
        <f t="shared" si="20"/>
        <v>2.661371789967925E-2</v>
      </c>
      <c r="N25" s="17">
        <f t="shared" si="20"/>
        <v>2.6158887519608109E-2</v>
      </c>
    </row>
    <row r="26" spans="2:16" x14ac:dyDescent="0.35">
      <c r="B26" t="s">
        <v>130</v>
      </c>
      <c r="E26" s="43">
        <v>44.71</v>
      </c>
      <c r="F26" s="43">
        <v>34.24</v>
      </c>
      <c r="G26" s="43">
        <v>38.29</v>
      </c>
      <c r="H26" s="43">
        <v>33.630000000000003</v>
      </c>
      <c r="I26" s="43">
        <v>44.02</v>
      </c>
      <c r="J26" s="43">
        <f>J27*AVERAGE(I13:J13)</f>
        <v>43.137496910332835</v>
      </c>
      <c r="K26" s="43">
        <f>K27*AVERAGE(I13:J13)</f>
        <v>41.532594197505304</v>
      </c>
      <c r="L26" s="43">
        <f t="shared" ref="L26:N26" si="21">L27*AVERAGE(J13:K13)</f>
        <v>47.014930184242814</v>
      </c>
      <c r="M26" s="43">
        <f t="shared" si="21"/>
        <v>51.892313114372051</v>
      </c>
      <c r="N26" s="43">
        <f t="shared" si="21"/>
        <v>58.156799024330944</v>
      </c>
    </row>
    <row r="27" spans="2:16" x14ac:dyDescent="0.35">
      <c r="B27" t="s">
        <v>128</v>
      </c>
      <c r="E27" s="16">
        <f t="shared" ref="E27:H27" si="22">E26/AVERAGE(D13:E13)</f>
        <v>7.3403382039074039E-2</v>
      </c>
      <c r="F27" s="16">
        <f t="shared" si="22"/>
        <v>5.4376826324482277E-2</v>
      </c>
      <c r="G27" s="16">
        <f t="shared" si="22"/>
        <v>5.9120069789165695E-2</v>
      </c>
      <c r="H27" s="16">
        <f t="shared" si="22"/>
        <v>5.3369516056083227E-2</v>
      </c>
      <c r="I27" s="16">
        <f>I26/AVERAGE(H13:I13)</f>
        <v>6.9182291093683707E-2</v>
      </c>
      <c r="J27" s="17">
        <f>AVERAGE(E27:I27)</f>
        <v>6.1890417060497784E-2</v>
      </c>
      <c r="K27" s="17">
        <f t="shared" ref="K27:N27" si="23">AVERAGE(F27:J27)</f>
        <v>5.9587824064782538E-2</v>
      </c>
      <c r="L27" s="17">
        <f t="shared" si="23"/>
        <v>6.0630023612842587E-2</v>
      </c>
      <c r="M27" s="17">
        <f t="shared" si="23"/>
        <v>6.0932014377577969E-2</v>
      </c>
      <c r="N27" s="17">
        <f t="shared" si="23"/>
        <v>6.2444514041876911E-2</v>
      </c>
      <c r="P27" s="1"/>
    </row>
    <row r="28" spans="2:16" x14ac:dyDescent="0.35">
      <c r="B28" t="s">
        <v>131</v>
      </c>
      <c r="E28" s="43">
        <f>E22+E24+E26</f>
        <v>715.12</v>
      </c>
      <c r="F28" s="43">
        <f t="shared" ref="F28:N28" si="24">F22+F24+F26</f>
        <v>689.52</v>
      </c>
      <c r="G28" s="43">
        <f t="shared" si="24"/>
        <v>699.16</v>
      </c>
      <c r="H28" s="43">
        <f t="shared" si="24"/>
        <v>757.36</v>
      </c>
      <c r="I28" s="43">
        <f t="shared" si="24"/>
        <v>824.59</v>
      </c>
      <c r="J28" s="43">
        <f>J22+J24+J26</f>
        <v>845.69631976358392</v>
      </c>
      <c r="K28" s="43">
        <f t="shared" si="24"/>
        <v>913.30015156630395</v>
      </c>
      <c r="L28" s="43">
        <f t="shared" si="24"/>
        <v>998.76172734135616</v>
      </c>
      <c r="M28" s="43">
        <f t="shared" si="24"/>
        <v>1094.7434900029882</v>
      </c>
      <c r="N28" s="43">
        <f t="shared" si="24"/>
        <v>1193.6247784466204</v>
      </c>
    </row>
    <row r="30" spans="2:16" x14ac:dyDescent="0.35">
      <c r="J30" s="18">
        <v>0.8</v>
      </c>
      <c r="K30" s="18">
        <v>0.8</v>
      </c>
      <c r="L30" s="18">
        <v>0.8</v>
      </c>
      <c r="M30" s="18">
        <v>0.8</v>
      </c>
      <c r="N30" s="18">
        <v>0.8</v>
      </c>
    </row>
    <row r="31" spans="2:16" x14ac:dyDescent="0.35">
      <c r="B31" t="s">
        <v>133</v>
      </c>
      <c r="J31" s="43">
        <f>I22</f>
        <v>612.08000000000004</v>
      </c>
      <c r="K31" s="43">
        <f t="shared" ref="K31:N31" si="25">J22</f>
        <v>698.1017186489504</v>
      </c>
      <c r="L31" s="43">
        <f t="shared" si="25"/>
        <v>752.87339745272584</v>
      </c>
      <c r="M31" s="43">
        <f t="shared" si="25"/>
        <v>816.96149619790276</v>
      </c>
      <c r="N31" s="43">
        <f t="shared" si="25"/>
        <v>892.30320190266889</v>
      </c>
    </row>
    <row r="32" spans="2:16" x14ac:dyDescent="0.35">
      <c r="B32" t="s">
        <v>134</v>
      </c>
      <c r="J32" s="43">
        <f>J31*J30</f>
        <v>489.66400000000004</v>
      </c>
      <c r="K32" s="43">
        <f t="shared" ref="K32:N32" si="26">K31*K30</f>
        <v>558.48137491916032</v>
      </c>
      <c r="L32" s="43">
        <f t="shared" si="26"/>
        <v>602.29871796218072</v>
      </c>
      <c r="M32" s="43">
        <f t="shared" si="26"/>
        <v>653.56919695832221</v>
      </c>
      <c r="N32" s="43">
        <f t="shared" si="26"/>
        <v>713.84256152213516</v>
      </c>
    </row>
    <row r="33" spans="2:14" x14ac:dyDescent="0.35">
      <c r="B33" t="s">
        <v>135</v>
      </c>
      <c r="J33" s="45">
        <f>J31+J32</f>
        <v>1101.7440000000001</v>
      </c>
      <c r="K33" s="45">
        <f t="shared" ref="K33:N33" si="27">K31+K32</f>
        <v>1256.5830935681106</v>
      </c>
      <c r="L33" s="45">
        <f t="shared" si="27"/>
        <v>1355.1721154149066</v>
      </c>
      <c r="M33" s="45">
        <f t="shared" si="27"/>
        <v>1470.530693156225</v>
      </c>
      <c r="N33" s="45">
        <f t="shared" si="27"/>
        <v>1606.145763424804</v>
      </c>
    </row>
    <row r="34" spans="2:14" x14ac:dyDescent="0.35">
      <c r="B34" t="s">
        <v>136</v>
      </c>
      <c r="J34" s="43">
        <f>I24</f>
        <v>168.49</v>
      </c>
      <c r="K34" s="43">
        <f t="shared" ref="K34:N34" si="28">J24</f>
        <v>104.45710420430071</v>
      </c>
      <c r="L34" s="43">
        <f t="shared" si="28"/>
        <v>118.89415991607284</v>
      </c>
      <c r="M34" s="43">
        <f t="shared" si="28"/>
        <v>134.78530095921064</v>
      </c>
      <c r="N34" s="43">
        <f t="shared" si="28"/>
        <v>150.54797498594732</v>
      </c>
    </row>
    <row r="35" spans="2:14" x14ac:dyDescent="0.35">
      <c r="B35" t="s">
        <v>137</v>
      </c>
      <c r="J35" s="43">
        <f>J34*J30</f>
        <v>134.792</v>
      </c>
      <c r="K35" s="43">
        <f t="shared" ref="K35:N35" si="29">K34*K30</f>
        <v>83.56568336344057</v>
      </c>
      <c r="L35" s="43">
        <f t="shared" si="29"/>
        <v>95.115327932858278</v>
      </c>
      <c r="M35" s="43">
        <f t="shared" si="29"/>
        <v>107.82824076736853</v>
      </c>
      <c r="N35" s="43">
        <f t="shared" si="29"/>
        <v>120.43837998875786</v>
      </c>
    </row>
    <row r="36" spans="2:14" x14ac:dyDescent="0.35">
      <c r="B36" t="s">
        <v>138</v>
      </c>
      <c r="J36" s="45">
        <f>J34+J35</f>
        <v>303.28200000000004</v>
      </c>
      <c r="K36" s="45">
        <f t="shared" ref="K36:N36" si="30">K34+K35</f>
        <v>188.02278756774126</v>
      </c>
      <c r="L36" s="45">
        <f t="shared" si="30"/>
        <v>214.00948784893112</v>
      </c>
      <c r="M36" s="45">
        <f t="shared" si="30"/>
        <v>242.61354172657917</v>
      </c>
      <c r="N36" s="45">
        <f t="shared" si="30"/>
        <v>270.98635497470519</v>
      </c>
    </row>
    <row r="37" spans="2:14" x14ac:dyDescent="0.35">
      <c r="B37" t="s">
        <v>139</v>
      </c>
      <c r="J37" s="43">
        <f>I26</f>
        <v>44.02</v>
      </c>
      <c r="K37" s="43">
        <f t="shared" ref="K37:N37" si="31">J26</f>
        <v>43.137496910332835</v>
      </c>
      <c r="L37" s="43">
        <f t="shared" si="31"/>
        <v>41.532594197505304</v>
      </c>
      <c r="M37" s="43">
        <f t="shared" si="31"/>
        <v>47.014930184242814</v>
      </c>
      <c r="N37" s="43">
        <f t="shared" si="31"/>
        <v>51.892313114372051</v>
      </c>
    </row>
    <row r="38" spans="2:14" x14ac:dyDescent="0.35">
      <c r="B38" t="s">
        <v>140</v>
      </c>
      <c r="J38" s="43">
        <f>J37*J30</f>
        <v>35.216000000000001</v>
      </c>
      <c r="K38" s="43">
        <f t="shared" ref="K38:N38" si="32">K37*K30</f>
        <v>34.509997528266268</v>
      </c>
      <c r="L38" s="43">
        <f t="shared" si="32"/>
        <v>33.226075358004245</v>
      </c>
      <c r="M38" s="43">
        <f t="shared" si="32"/>
        <v>37.611944147394254</v>
      </c>
      <c r="N38" s="43">
        <f t="shared" si="32"/>
        <v>41.513850491497642</v>
      </c>
    </row>
    <row r="39" spans="2:14" x14ac:dyDescent="0.35">
      <c r="B39" t="s">
        <v>141</v>
      </c>
      <c r="J39" s="45">
        <f>J37+J38</f>
        <v>79.236000000000004</v>
      </c>
      <c r="K39" s="45">
        <f t="shared" ref="K39:N39" si="33">K37+K38</f>
        <v>77.647494438599097</v>
      </c>
      <c r="L39" s="45">
        <f t="shared" si="33"/>
        <v>74.758669555509556</v>
      </c>
      <c r="M39" s="45">
        <f t="shared" si="33"/>
        <v>84.626874331637069</v>
      </c>
      <c r="N39" s="45">
        <f t="shared" si="33"/>
        <v>93.406163605869693</v>
      </c>
    </row>
    <row r="40" spans="2:14" x14ac:dyDescent="0.35">
      <c r="B40" t="s">
        <v>142</v>
      </c>
      <c r="J40" s="45">
        <f>J33+J36+J39</f>
        <v>1484.2620000000004</v>
      </c>
      <c r="K40" s="45">
        <f t="shared" ref="K40:N40" si="34">K33+K36+K39</f>
        <v>1522.253375574451</v>
      </c>
      <c r="L40" s="45">
        <f t="shared" si="34"/>
        <v>1643.9402728193472</v>
      </c>
      <c r="M40" s="45">
        <f t="shared" si="34"/>
        <v>1797.7711092144411</v>
      </c>
      <c r="N40" s="45">
        <f t="shared" si="34"/>
        <v>1970.538282005379</v>
      </c>
    </row>
    <row r="44" spans="2:14" ht="43.5" x14ac:dyDescent="0.35">
      <c r="B44" s="1" t="s">
        <v>132</v>
      </c>
    </row>
    <row r="49" spans="2:14" x14ac:dyDescent="0.35">
      <c r="B49" s="19" t="s">
        <v>144</v>
      </c>
      <c r="C49" s="20" t="s">
        <v>50</v>
      </c>
      <c r="D49" s="19"/>
      <c r="E49" s="19" t="s">
        <v>45</v>
      </c>
      <c r="F49" s="19" t="s">
        <v>44</v>
      </c>
      <c r="G49" s="19" t="s">
        <v>43</v>
      </c>
      <c r="H49" s="19" t="s">
        <v>42</v>
      </c>
      <c r="I49" s="19" t="s">
        <v>41</v>
      </c>
      <c r="J49" s="19" t="s">
        <v>40</v>
      </c>
      <c r="K49" s="19" t="s">
        <v>39</v>
      </c>
      <c r="L49" s="19" t="s">
        <v>38</v>
      </c>
      <c r="M49" s="19" t="s">
        <v>37</v>
      </c>
      <c r="N49" s="19" t="s">
        <v>36</v>
      </c>
    </row>
    <row r="51" spans="2:14" x14ac:dyDescent="0.35">
      <c r="B51" s="23" t="s">
        <v>161</v>
      </c>
      <c r="E51" s="43">
        <f>'Balance Sheet '!E41</f>
        <v>45.18</v>
      </c>
      <c r="F51" s="43">
        <f>'Balance Sheet '!F41</f>
        <v>36.17</v>
      </c>
      <c r="G51" s="43">
        <f>'Balance Sheet '!G41</f>
        <v>20.09</v>
      </c>
      <c r="H51" s="43">
        <v>0</v>
      </c>
      <c r="I51" s="43">
        <v>0</v>
      </c>
      <c r="J51" s="43">
        <f>I51+J68</f>
        <v>1.0044999999999999</v>
      </c>
      <c r="K51" s="43">
        <f t="shared" ref="K51:N51" si="35">J51+K68</f>
        <v>1.0044999999999999</v>
      </c>
      <c r="L51" s="43">
        <f t="shared" si="35"/>
        <v>1.0044999999999999</v>
      </c>
      <c r="M51" s="43">
        <f t="shared" si="35"/>
        <v>1.0547249999999999</v>
      </c>
      <c r="N51" s="43">
        <f t="shared" si="35"/>
        <v>1.1049499999999999</v>
      </c>
    </row>
    <row r="52" spans="2:14" x14ac:dyDescent="0.35">
      <c r="B52" t="s">
        <v>162</v>
      </c>
      <c r="C52" t="s">
        <v>172</v>
      </c>
      <c r="E52" s="43">
        <f>'Balance Sheet '!E49</f>
        <v>296.85000000000002</v>
      </c>
      <c r="F52" s="43">
        <f>'Balance Sheet '!F49</f>
        <v>317.31</v>
      </c>
      <c r="G52" s="43">
        <f>'Balance Sheet '!G49</f>
        <v>293.14999999999998</v>
      </c>
      <c r="H52" s="43">
        <f>'Balance Sheet '!H49</f>
        <v>363.43</v>
      </c>
      <c r="I52" s="43">
        <f>'Balance Sheet '!I49</f>
        <v>456.76</v>
      </c>
      <c r="J52" s="43">
        <f>J93</f>
        <v>482.78834343628051</v>
      </c>
      <c r="K52" s="43">
        <f t="shared" ref="K52:N52" si="36">K93</f>
        <v>541.51122024699282</v>
      </c>
      <c r="L52" s="43">
        <f t="shared" si="36"/>
        <v>587.7775436034724</v>
      </c>
      <c r="M52" s="43">
        <f t="shared" si="36"/>
        <v>657.20640355722867</v>
      </c>
      <c r="N52" s="43">
        <f t="shared" si="36"/>
        <v>727.5032723421665</v>
      </c>
    </row>
    <row r="53" spans="2:14" x14ac:dyDescent="0.35">
      <c r="B53" s="3" t="s">
        <v>145</v>
      </c>
      <c r="E53" s="43">
        <f>SUM(E51:E52)</f>
        <v>342.03000000000003</v>
      </c>
      <c r="F53" s="43">
        <f t="shared" ref="F53:N53" si="37">SUM(F51:F52)</f>
        <v>353.48</v>
      </c>
      <c r="G53" s="43">
        <f t="shared" si="37"/>
        <v>313.23999999999995</v>
      </c>
      <c r="H53" s="43">
        <f t="shared" si="37"/>
        <v>363.43</v>
      </c>
      <c r="I53" s="45">
        <f t="shared" si="37"/>
        <v>456.76</v>
      </c>
      <c r="J53" s="45">
        <f t="shared" si="37"/>
        <v>483.79284343628052</v>
      </c>
      <c r="K53" s="43">
        <f t="shared" si="37"/>
        <v>542.51572024699283</v>
      </c>
      <c r="L53" s="43">
        <f t="shared" si="37"/>
        <v>588.7820436034724</v>
      </c>
      <c r="M53" s="43">
        <f t="shared" si="37"/>
        <v>658.26112855722863</v>
      </c>
      <c r="N53" s="43">
        <f t="shared" si="37"/>
        <v>728.60822234216653</v>
      </c>
    </row>
    <row r="54" spans="2:14" x14ac:dyDescent="0.35">
      <c r="B54" s="3"/>
      <c r="E54" s="43"/>
      <c r="F54" s="43"/>
      <c r="G54" s="43"/>
      <c r="H54" s="43"/>
      <c r="I54" s="43"/>
      <c r="J54" s="43"/>
      <c r="K54" s="43"/>
      <c r="L54" s="43"/>
      <c r="M54" s="43"/>
      <c r="N54" s="43"/>
    </row>
    <row r="55" spans="2:14" x14ac:dyDescent="0.35">
      <c r="B55" s="12" t="s">
        <v>170</v>
      </c>
      <c r="E55" s="43">
        <f>'Balance Sheet '!E42</f>
        <v>212.42</v>
      </c>
      <c r="F55" s="43">
        <f>'Balance Sheet '!F42</f>
        <v>215.51</v>
      </c>
      <c r="G55" s="43">
        <f>'Balance Sheet '!G42</f>
        <v>219.67</v>
      </c>
      <c r="H55" s="43">
        <f>'Balance Sheet '!H42</f>
        <v>199.13</v>
      </c>
      <c r="I55" s="43">
        <f>'Balance Sheet '!I42</f>
        <v>196.21</v>
      </c>
      <c r="J55" s="43">
        <f>I55+J73</f>
        <v>206.0205</v>
      </c>
      <c r="K55" s="43">
        <f t="shared" ref="K55:N55" si="38">J55+K73</f>
        <v>216.32152500000001</v>
      </c>
      <c r="L55" s="43">
        <f t="shared" si="38"/>
        <v>227.13760125000002</v>
      </c>
      <c r="M55" s="43">
        <f t="shared" si="38"/>
        <v>238.49448131250003</v>
      </c>
      <c r="N55" s="43">
        <f t="shared" si="38"/>
        <v>250.41920537812504</v>
      </c>
    </row>
    <row r="56" spans="2:14" x14ac:dyDescent="0.35">
      <c r="B56" t="s">
        <v>171</v>
      </c>
      <c r="C56" t="s">
        <v>172</v>
      </c>
      <c r="E56" s="43">
        <f>'Balance Sheet '!E50</f>
        <v>29.57</v>
      </c>
      <c r="F56" s="43">
        <f>'Balance Sheet '!F50</f>
        <v>36.18</v>
      </c>
      <c r="G56" s="43">
        <f>'Balance Sheet '!G50</f>
        <v>34.630000000000003</v>
      </c>
      <c r="H56" s="43">
        <f>'Balance Sheet '!H50</f>
        <v>43.85</v>
      </c>
      <c r="I56" s="43">
        <f>'Balance Sheet '!I50</f>
        <v>46.96</v>
      </c>
      <c r="J56" s="43">
        <f>J94</f>
        <v>53.108043988664136</v>
      </c>
      <c r="K56" s="43">
        <f t="shared" ref="K56:N56" si="39">K94</f>
        <v>59.436857727589874</v>
      </c>
      <c r="L56" s="43">
        <f t="shared" si="39"/>
        <v>65.131493040750087</v>
      </c>
      <c r="M56" s="43">
        <f t="shared" si="39"/>
        <v>72.598194339749355</v>
      </c>
      <c r="N56" s="43">
        <f t="shared" si="39"/>
        <v>79.751247082369446</v>
      </c>
    </row>
    <row r="57" spans="2:14" x14ac:dyDescent="0.35">
      <c r="B57" s="3" t="s">
        <v>146</v>
      </c>
      <c r="E57" s="43">
        <f>SUM(E55:E56)</f>
        <v>241.98999999999998</v>
      </c>
      <c r="F57" s="43">
        <f t="shared" ref="F57:N57" si="40">SUM(F55:F56)</f>
        <v>251.69</v>
      </c>
      <c r="G57" s="43">
        <f t="shared" si="40"/>
        <v>254.29999999999998</v>
      </c>
      <c r="H57" s="43">
        <f t="shared" si="40"/>
        <v>242.98</v>
      </c>
      <c r="I57" s="45">
        <f t="shared" si="40"/>
        <v>243.17000000000002</v>
      </c>
      <c r="J57" s="45">
        <f t="shared" si="40"/>
        <v>259.12854398866415</v>
      </c>
      <c r="K57" s="43">
        <f t="shared" si="40"/>
        <v>275.75838272758989</v>
      </c>
      <c r="L57" s="43">
        <f t="shared" si="40"/>
        <v>292.2690942907501</v>
      </c>
      <c r="M57" s="43">
        <f t="shared" si="40"/>
        <v>311.0926756522494</v>
      </c>
      <c r="N57" s="43">
        <f t="shared" si="40"/>
        <v>330.17045246049452</v>
      </c>
    </row>
    <row r="58" spans="2:14" x14ac:dyDescent="0.35">
      <c r="E58" s="43"/>
      <c r="F58" s="43"/>
      <c r="G58" s="43"/>
      <c r="H58" s="43"/>
      <c r="I58" s="43"/>
      <c r="J58" s="43"/>
      <c r="K58" s="43"/>
      <c r="L58" s="43"/>
      <c r="M58" s="43"/>
      <c r="N58" s="43"/>
    </row>
    <row r="59" spans="2:14" x14ac:dyDescent="0.35">
      <c r="B59" s="23" t="s">
        <v>147</v>
      </c>
      <c r="E59" s="43">
        <v>22.63</v>
      </c>
      <c r="F59" s="43">
        <v>25.05</v>
      </c>
      <c r="G59" s="43">
        <v>82.72</v>
      </c>
      <c r="H59" s="43">
        <v>55.08</v>
      </c>
      <c r="I59" s="43">
        <v>47.97</v>
      </c>
      <c r="J59" s="43">
        <f>J63*AVERAGE(I53:J53)</f>
        <v>62.650933283844473</v>
      </c>
      <c r="K59" s="43">
        <f t="shared" ref="K59:N59" si="41">K63*AVERAGE(J53:K53)</f>
        <v>75.245377576173311</v>
      </c>
      <c r="L59" s="43">
        <f t="shared" si="41"/>
        <v>91.382254525766385</v>
      </c>
      <c r="M59" s="43">
        <f t="shared" si="41"/>
        <v>89.933966002607974</v>
      </c>
      <c r="N59" s="43">
        <f t="shared" si="41"/>
        <v>97.443652406971296</v>
      </c>
    </row>
    <row r="60" spans="2:14" x14ac:dyDescent="0.35">
      <c r="B60" s="23" t="s">
        <v>148</v>
      </c>
      <c r="E60" s="43">
        <v>19.12</v>
      </c>
      <c r="F60" s="43">
        <v>23.68</v>
      </c>
      <c r="G60" s="43">
        <v>18.02</v>
      </c>
      <c r="H60" s="43">
        <v>16.309999999999999</v>
      </c>
      <c r="I60" s="43">
        <v>17.61</v>
      </c>
      <c r="J60" s="43">
        <f>J64*AVERAGE(I57:J57)</f>
        <v>19.299035576628871</v>
      </c>
      <c r="K60" s="43">
        <f t="shared" ref="K60:N60" si="42">K64*AVERAGE(J57:K57)</f>
        <v>20.435130560051338</v>
      </c>
      <c r="L60" s="43">
        <f t="shared" si="42"/>
        <v>20.59226706405703</v>
      </c>
      <c r="M60" s="43">
        <f t="shared" si="42"/>
        <v>21.950310071798977</v>
      </c>
      <c r="N60" s="43">
        <f t="shared" si="42"/>
        <v>23.788510527556543</v>
      </c>
    </row>
    <row r="61" spans="2:14" x14ac:dyDescent="0.35">
      <c r="B61" s="25" t="s">
        <v>149</v>
      </c>
      <c r="E61" s="43">
        <f>SUM( E59:E60)</f>
        <v>41.75</v>
      </c>
      <c r="F61" s="43">
        <f t="shared" ref="F61:N61" si="43">SUM( F59:F60)</f>
        <v>48.730000000000004</v>
      </c>
      <c r="G61" s="43">
        <f t="shared" si="43"/>
        <v>100.74</v>
      </c>
      <c r="H61" s="43">
        <f t="shared" si="43"/>
        <v>71.39</v>
      </c>
      <c r="I61" s="43">
        <f t="shared" si="43"/>
        <v>65.58</v>
      </c>
      <c r="J61" s="45">
        <f t="shared" si="43"/>
        <v>81.949968860473348</v>
      </c>
      <c r="K61" s="43">
        <f t="shared" si="43"/>
        <v>95.680508136224645</v>
      </c>
      <c r="L61" s="43">
        <f t="shared" si="43"/>
        <v>111.97452158982341</v>
      </c>
      <c r="M61" s="43">
        <f t="shared" si="43"/>
        <v>111.88427607440696</v>
      </c>
      <c r="N61" s="43">
        <f t="shared" si="43"/>
        <v>121.23216293452784</v>
      </c>
    </row>
    <row r="62" spans="2:14" x14ac:dyDescent="0.35">
      <c r="B62" s="26"/>
    </row>
    <row r="63" spans="2:14" x14ac:dyDescent="0.35">
      <c r="B63" s="12" t="s">
        <v>150</v>
      </c>
      <c r="E63" s="16">
        <f t="shared" ref="E63:H63" si="44">E59/AVERAGE(D53:E53)</f>
        <v>6.6163786802327276E-2</v>
      </c>
      <c r="F63" s="16">
        <f t="shared" si="44"/>
        <v>7.2033471840807467E-2</v>
      </c>
      <c r="G63" s="16">
        <f t="shared" si="44"/>
        <v>0.24814014878809693</v>
      </c>
      <c r="H63" s="16">
        <f t="shared" si="44"/>
        <v>0.16279722759986404</v>
      </c>
      <c r="I63" s="16">
        <f>I59/AVERAGE(H53:I53)</f>
        <v>0.11697289652397615</v>
      </c>
      <c r="J63" s="17">
        <f>AVERAGE(E63:I63)</f>
        <v>0.13322150631101437</v>
      </c>
      <c r="K63" s="17">
        <f t="shared" ref="K63:N63" si="45">AVERAGE(F63:J63)</f>
        <v>0.1466330502127518</v>
      </c>
      <c r="L63" s="17">
        <f t="shared" si="45"/>
        <v>0.16155296588714069</v>
      </c>
      <c r="M63" s="17">
        <f t="shared" si="45"/>
        <v>0.14423552930694941</v>
      </c>
      <c r="N63" s="17">
        <f t="shared" si="45"/>
        <v>0.14052318964836646</v>
      </c>
    </row>
    <row r="64" spans="2:14" x14ac:dyDescent="0.35">
      <c r="B64" s="12" t="s">
        <v>151</v>
      </c>
      <c r="E64" s="16">
        <f t="shared" ref="E64:H64" si="46">E60/AVERAGE(D57:E57)</f>
        <v>7.9011529402041411E-2</v>
      </c>
      <c r="F64" s="16">
        <f t="shared" si="46"/>
        <v>9.5932587911197548E-2</v>
      </c>
      <c r="G64" s="16">
        <f t="shared" si="46"/>
        <v>7.122670408506096E-2</v>
      </c>
      <c r="H64" s="16">
        <f t="shared" si="46"/>
        <v>6.5596846846846843E-2</v>
      </c>
      <c r="I64" s="16">
        <f>I60/AVERAGE(H57:I57)</f>
        <v>7.2446775686516515E-2</v>
      </c>
      <c r="J64" s="17">
        <f>AVERAGE(E64:I64)</f>
        <v>7.684288878633265E-2</v>
      </c>
      <c r="K64" s="17">
        <f t="shared" ref="K64:N64" si="47">AVERAGE(F64:J64)</f>
        <v>7.6409160663190909E-2</v>
      </c>
      <c r="L64" s="17">
        <f t="shared" si="47"/>
        <v>7.2504475213589575E-2</v>
      </c>
      <c r="M64" s="17">
        <f t="shared" si="47"/>
        <v>7.2760029439295298E-2</v>
      </c>
      <c r="N64" s="17">
        <f t="shared" si="47"/>
        <v>7.4192665957784981E-2</v>
      </c>
    </row>
    <row r="65" spans="2:14" x14ac:dyDescent="0.35">
      <c r="B65" s="12" t="s">
        <v>152</v>
      </c>
      <c r="J65" s="80">
        <f>J61/(AVERAGE(I57:J57)+AVERAGE(I53:J53))</f>
        <v>0.11359446936074181</v>
      </c>
    </row>
    <row r="66" spans="2:14" x14ac:dyDescent="0.35">
      <c r="B66" s="24" t="s">
        <v>153</v>
      </c>
      <c r="I66" s="18">
        <v>0.1</v>
      </c>
      <c r="J66" s="43">
        <f>G51*10%</f>
        <v>2.0089999999999999</v>
      </c>
      <c r="K66" s="43">
        <f t="shared" ref="K66:N66" si="48">H51*10%</f>
        <v>0</v>
      </c>
      <c r="L66" s="43">
        <f t="shared" si="48"/>
        <v>0</v>
      </c>
      <c r="M66" s="43">
        <f t="shared" si="48"/>
        <v>0.10045</v>
      </c>
      <c r="N66" s="43">
        <f t="shared" si="48"/>
        <v>0.10045</v>
      </c>
    </row>
    <row r="67" spans="2:14" x14ac:dyDescent="0.35">
      <c r="B67" s="24" t="s">
        <v>154</v>
      </c>
      <c r="I67" s="18">
        <v>0.05</v>
      </c>
      <c r="J67" s="43">
        <f>G51*5%</f>
        <v>1.0044999999999999</v>
      </c>
      <c r="K67" s="43">
        <f t="shared" ref="K67:N67" si="49">H51*5%</f>
        <v>0</v>
      </c>
      <c r="L67" s="43">
        <f t="shared" si="49"/>
        <v>0</v>
      </c>
      <c r="M67" s="43">
        <f t="shared" si="49"/>
        <v>5.0224999999999999E-2</v>
      </c>
      <c r="N67" s="43">
        <f t="shared" si="49"/>
        <v>5.0224999999999999E-2</v>
      </c>
    </row>
    <row r="68" spans="2:14" x14ac:dyDescent="0.35">
      <c r="B68" s="24" t="s">
        <v>155</v>
      </c>
      <c r="I68" s="18">
        <f>I66-I67</f>
        <v>0.05</v>
      </c>
      <c r="J68" s="43">
        <f>J66-J67</f>
        <v>1.0044999999999999</v>
      </c>
      <c r="K68" s="43">
        <f t="shared" ref="K68:N68" si="50">K66-K67</f>
        <v>0</v>
      </c>
      <c r="L68" s="43">
        <f t="shared" si="50"/>
        <v>0</v>
      </c>
      <c r="M68" s="43">
        <f t="shared" si="50"/>
        <v>5.0224999999999999E-2</v>
      </c>
      <c r="N68" s="43">
        <f t="shared" si="50"/>
        <v>5.0224999999999999E-2</v>
      </c>
    </row>
    <row r="69" spans="2:14" x14ac:dyDescent="0.35">
      <c r="B69" s="24" t="s">
        <v>156</v>
      </c>
      <c r="J69" s="43"/>
      <c r="K69" s="43"/>
      <c r="L69" s="43"/>
      <c r="M69" s="43"/>
      <c r="N69" s="43"/>
    </row>
    <row r="70" spans="2:14" x14ac:dyDescent="0.35">
      <c r="B70" s="24"/>
      <c r="J70" s="43"/>
      <c r="K70" s="43"/>
      <c r="L70" s="43"/>
      <c r="M70" s="43"/>
      <c r="N70" s="43"/>
    </row>
    <row r="71" spans="2:14" x14ac:dyDescent="0.35">
      <c r="B71" s="24" t="s">
        <v>157</v>
      </c>
      <c r="I71" s="18">
        <v>0.1</v>
      </c>
      <c r="J71" s="43">
        <f>I55*10%</f>
        <v>19.621000000000002</v>
      </c>
      <c r="K71" s="43">
        <f t="shared" ref="K71:N71" si="51">J55*10%</f>
        <v>20.602050000000002</v>
      </c>
      <c r="L71" s="43">
        <f t="shared" si="51"/>
        <v>21.632152500000004</v>
      </c>
      <c r="M71" s="43">
        <f t="shared" si="51"/>
        <v>22.713760125000004</v>
      </c>
      <c r="N71" s="43">
        <f t="shared" si="51"/>
        <v>23.849448131250004</v>
      </c>
    </row>
    <row r="72" spans="2:14" x14ac:dyDescent="0.35">
      <c r="B72" s="24" t="s">
        <v>158</v>
      </c>
      <c r="I72" s="18">
        <v>0.05</v>
      </c>
      <c r="J72" s="43">
        <f>I55*5%</f>
        <v>9.8105000000000011</v>
      </c>
      <c r="K72" s="43">
        <f t="shared" ref="K72:N72" si="52">J55*5%</f>
        <v>10.301025000000001</v>
      </c>
      <c r="L72" s="43">
        <f t="shared" si="52"/>
        <v>10.816076250000002</v>
      </c>
      <c r="M72" s="43">
        <f t="shared" si="52"/>
        <v>11.356880062500002</v>
      </c>
      <c r="N72" s="43">
        <f t="shared" si="52"/>
        <v>11.924724065625002</v>
      </c>
    </row>
    <row r="73" spans="2:14" x14ac:dyDescent="0.35">
      <c r="B73" t="s">
        <v>159</v>
      </c>
      <c r="I73" s="18">
        <f>I71-I72</f>
        <v>0.05</v>
      </c>
      <c r="J73" s="43">
        <f>J71-J72</f>
        <v>9.8105000000000011</v>
      </c>
      <c r="K73" s="43">
        <f t="shared" ref="K73:N73" si="53">K71-K72</f>
        <v>10.301025000000001</v>
      </c>
      <c r="L73" s="43">
        <f t="shared" si="53"/>
        <v>10.816076250000002</v>
      </c>
      <c r="M73" s="43">
        <f t="shared" si="53"/>
        <v>11.356880062500002</v>
      </c>
      <c r="N73" s="43">
        <f t="shared" si="53"/>
        <v>11.924724065625002</v>
      </c>
    </row>
    <row r="74" spans="2:14" x14ac:dyDescent="0.35">
      <c r="B74" s="24" t="s">
        <v>160</v>
      </c>
    </row>
    <row r="78" spans="2:14" x14ac:dyDescent="0.35">
      <c r="B78" s="19" t="s">
        <v>163</v>
      </c>
      <c r="C78" s="20" t="s">
        <v>50</v>
      </c>
      <c r="D78" s="19"/>
      <c r="E78" s="19" t="s">
        <v>45</v>
      </c>
      <c r="F78" s="19" t="s">
        <v>44</v>
      </c>
      <c r="G78" s="19" t="s">
        <v>43</v>
      </c>
      <c r="H78" s="19" t="s">
        <v>42</v>
      </c>
      <c r="I78" s="19" t="s">
        <v>41</v>
      </c>
      <c r="J78" s="19" t="s">
        <v>40</v>
      </c>
      <c r="K78" s="19" t="s">
        <v>39</v>
      </c>
      <c r="L78" s="19" t="s">
        <v>38</v>
      </c>
      <c r="M78" s="19" t="s">
        <v>37</v>
      </c>
      <c r="N78" s="19" t="s">
        <v>36</v>
      </c>
    </row>
    <row r="81" spans="2:14" x14ac:dyDescent="0.35">
      <c r="B81" s="3" t="s">
        <v>165</v>
      </c>
    </row>
    <row r="82" spans="2:14" x14ac:dyDescent="0.35">
      <c r="B82" t="s">
        <v>61</v>
      </c>
      <c r="E82" s="43">
        <f>'Balance Sheet '!E20</f>
        <v>1789.27</v>
      </c>
      <c r="F82" s="43">
        <f>'Balance Sheet '!F20</f>
        <v>1472.41</v>
      </c>
      <c r="G82" s="43">
        <f>'Balance Sheet '!G20</f>
        <v>1756.39</v>
      </c>
      <c r="H82" s="43">
        <f>'Balance Sheet '!H20</f>
        <v>1755.9</v>
      </c>
      <c r="I82" s="43">
        <f>'Balance Sheet '!I20</f>
        <v>2013.34</v>
      </c>
      <c r="J82" s="43">
        <f>J106*'Revenue Model'!J$19/365</f>
        <v>2334.6416212221134</v>
      </c>
      <c r="K82" s="43">
        <f>K106*'Revenue Model'!K$19/365</f>
        <v>2584.2505665268263</v>
      </c>
      <c r="L82" s="43">
        <f>L106*'Revenue Model'!L$19/365</f>
        <v>2856.6639576343455</v>
      </c>
      <c r="M82" s="43">
        <f>M106*'Revenue Model'!M$19/365</f>
        <v>3140.9796213199756</v>
      </c>
      <c r="N82" s="43">
        <f>N106*'Revenue Model'!N$19/365</f>
        <v>3468.6562581445819</v>
      </c>
    </row>
    <row r="83" spans="2:14" x14ac:dyDescent="0.35">
      <c r="B83" s="3" t="s">
        <v>56</v>
      </c>
      <c r="E83" s="43"/>
      <c r="F83" s="43"/>
      <c r="G83" s="43"/>
      <c r="H83" s="43"/>
      <c r="I83" s="43"/>
      <c r="J83" s="43"/>
      <c r="K83" s="43"/>
      <c r="L83" s="43"/>
      <c r="M83" s="43"/>
      <c r="N83" s="43"/>
    </row>
    <row r="84" spans="2:14" x14ac:dyDescent="0.35">
      <c r="B84" t="s">
        <v>105</v>
      </c>
      <c r="E84" s="43">
        <f>'Balance Sheet '!E22</f>
        <v>6225.34</v>
      </c>
      <c r="F84" s="43">
        <f>'Balance Sheet '!F22</f>
        <v>5870.31</v>
      </c>
      <c r="G84" s="43">
        <f>'Balance Sheet '!G22</f>
        <v>3671.85</v>
      </c>
      <c r="H84" s="43">
        <f>'Balance Sheet '!H22</f>
        <v>4305.08</v>
      </c>
      <c r="I84" s="43">
        <f>'Balance Sheet '!I22</f>
        <v>6635.99</v>
      </c>
      <c r="J84" s="43">
        <f>J108*'Revenue Model'!J$19/365</f>
        <v>7062.4458883292527</v>
      </c>
      <c r="K84" s="43">
        <f>K108*'Revenue Model'!K$19/365</f>
        <v>7889.1709166762739</v>
      </c>
      <c r="L84" s="43">
        <f>L108*'Revenue Model'!L$19/365</f>
        <v>8318.0844654135017</v>
      </c>
      <c r="M84" s="43">
        <f>M108*'Revenue Model'!M$19/365</f>
        <v>9299.76379645817</v>
      </c>
      <c r="N84" s="43">
        <f>N108*'Revenue Model'!N$19/365</f>
        <v>10389.495650676536</v>
      </c>
    </row>
    <row r="85" spans="2:14" x14ac:dyDescent="0.35">
      <c r="B85" t="s">
        <v>62</v>
      </c>
      <c r="E85" s="43">
        <f>'Balance Sheet '!E23</f>
        <v>2274.6799999999998</v>
      </c>
      <c r="F85" s="43">
        <f>'Balance Sheet '!F23</f>
        <v>2158.4899999999998</v>
      </c>
      <c r="G85" s="43">
        <f>'Balance Sheet '!G23</f>
        <v>2719.47</v>
      </c>
      <c r="H85" s="43">
        <f>'Balance Sheet '!H23</f>
        <v>2630.22</v>
      </c>
      <c r="I85" s="43">
        <f>'Balance Sheet '!I23</f>
        <v>3381.29</v>
      </c>
      <c r="J85" s="43">
        <f>J109*'Revenue Model'!J$19/365</f>
        <v>3608.2971474558617</v>
      </c>
      <c r="K85" s="43">
        <f>K109*'Revenue Model'!K$19/365</f>
        <v>4065.6725417674825</v>
      </c>
      <c r="L85" s="43">
        <f>L109*'Revenue Model'!L$19/365</f>
        <v>4472.9613810880228</v>
      </c>
      <c r="M85" s="43">
        <f>M109*'Revenue Model'!M$19/365</f>
        <v>4934.3840745378729</v>
      </c>
      <c r="N85" s="43">
        <f>N109*'Revenue Model'!N$19/365</f>
        <v>5473.2641461990379</v>
      </c>
    </row>
    <row r="86" spans="2:14" x14ac:dyDescent="0.35">
      <c r="B86" t="s">
        <v>64</v>
      </c>
      <c r="E86" s="43">
        <f>'Balance Sheet '!E26</f>
        <v>22.95</v>
      </c>
      <c r="F86" s="43">
        <f>'Balance Sheet '!F26</f>
        <v>22.81</v>
      </c>
      <c r="G86" s="43">
        <f>'Balance Sheet '!G26</f>
        <v>23.71</v>
      </c>
      <c r="H86" s="43">
        <f>'Balance Sheet '!H26</f>
        <v>24.56</v>
      </c>
      <c r="I86" s="43">
        <f>'Balance Sheet '!I26</f>
        <v>27.07</v>
      </c>
      <c r="J86" s="43">
        <f>J110*'Revenue Model'!J$19/365</f>
        <v>32.075261307918403</v>
      </c>
      <c r="K86" s="43">
        <f>K110*'Revenue Model'!K$19/365</f>
        <v>35.735237451114386</v>
      </c>
      <c r="L86" s="43">
        <f>L110*'Revenue Model'!L$19/365</f>
        <v>39.261237210881845</v>
      </c>
      <c r="M86" s="43">
        <f>M110*'Revenue Model'!M$19/365</f>
        <v>43.22567277274991</v>
      </c>
      <c r="N86" s="43">
        <f>N110*'Revenue Model'!N$19/365</f>
        <v>47.621582258765265</v>
      </c>
    </row>
    <row r="87" spans="2:14" x14ac:dyDescent="0.35">
      <c r="B87" t="s">
        <v>106</v>
      </c>
      <c r="E87" s="43">
        <f>'Balance Sheet '!E27</f>
        <v>382.55</v>
      </c>
      <c r="F87" s="43">
        <f>'Balance Sheet '!F27</f>
        <v>475</v>
      </c>
      <c r="G87" s="43">
        <f>'Balance Sheet '!G27</f>
        <v>571.65</v>
      </c>
      <c r="H87" s="43">
        <f>'Balance Sheet '!H27</f>
        <v>423.53</v>
      </c>
      <c r="I87" s="43">
        <f>'Balance Sheet '!I27</f>
        <v>141.59</v>
      </c>
      <c r="J87" s="43">
        <f>J111*'Revenue Model'!J$19/365</f>
        <v>436.99161690234712</v>
      </c>
      <c r="K87" s="43">
        <f>K111*'Revenue Model'!K$19/365</f>
        <v>479.47182792325117</v>
      </c>
      <c r="L87" s="43">
        <f>L111*'Revenue Model'!L$19/365</f>
        <v>555.24342936682672</v>
      </c>
      <c r="M87" s="43">
        <f>M111*'Revenue Model'!M$19/365</f>
        <v>574.72190205995901</v>
      </c>
      <c r="N87" s="43">
        <f>N111*'Revenue Model'!N$19/365</f>
        <v>609.88360003119124</v>
      </c>
    </row>
    <row r="88" spans="2:14" x14ac:dyDescent="0.35">
      <c r="B88" t="s">
        <v>107</v>
      </c>
      <c r="E88" s="43">
        <f>'Balance Sheet '!E28</f>
        <v>0</v>
      </c>
      <c r="F88" s="43">
        <f>'Balance Sheet '!F28</f>
        <v>0</v>
      </c>
      <c r="G88" s="43">
        <v>0</v>
      </c>
      <c r="H88" s="43">
        <v>0</v>
      </c>
      <c r="I88" s="43">
        <f>'Balance Sheet '!I28</f>
        <v>198.12</v>
      </c>
      <c r="J88" s="43">
        <f>J112*'Revenue Model'!J$19/365</f>
        <v>91.200605679318244</v>
      </c>
      <c r="K88" s="43">
        <f>K112*'Revenue Model'!K$19/365</f>
        <v>116.47841688234894</v>
      </c>
      <c r="L88" s="43">
        <f>L112*'Revenue Model'!L$19/365</f>
        <v>113.23148202456289</v>
      </c>
      <c r="M88" s="43">
        <f>M112*'Revenue Model'!M$19/365</f>
        <v>136.1891331600128</v>
      </c>
      <c r="N88" s="43">
        <f>N112*'Revenue Model'!N$19/365</f>
        <v>164.68573860770977</v>
      </c>
    </row>
    <row r="89" spans="2:14" x14ac:dyDescent="0.35">
      <c r="B89" t="s">
        <v>108</v>
      </c>
      <c r="E89" s="43">
        <f>'Balance Sheet '!E29</f>
        <v>279.45</v>
      </c>
      <c r="F89" s="43">
        <f>'Balance Sheet '!F29</f>
        <v>273.45999999999998</v>
      </c>
      <c r="G89" s="43">
        <f>'Balance Sheet '!G29</f>
        <v>269.45999999999998</v>
      </c>
      <c r="H89" s="43">
        <f>'Balance Sheet '!H29</f>
        <v>479.69</v>
      </c>
      <c r="I89" s="43">
        <f>'Balance Sheet '!I29</f>
        <v>462.41</v>
      </c>
      <c r="J89" s="43">
        <f>J113*'Revenue Model'!J$19/365</f>
        <v>515.88667642539701</v>
      </c>
      <c r="K89" s="43">
        <f>K113*'Revenue Model'!K$19/365</f>
        <v>563.00711651376162</v>
      </c>
      <c r="L89" s="43">
        <f>L113*'Revenue Model'!L$19/365</f>
        <v>624.09651446714338</v>
      </c>
      <c r="M89" s="43">
        <f>M113*'Revenue Model'!M$19/365</f>
        <v>706.22301728402476</v>
      </c>
      <c r="N89" s="43">
        <f>N113*'Revenue Model'!N$19/365</f>
        <v>771.14997151809303</v>
      </c>
    </row>
    <row r="90" spans="2:14" x14ac:dyDescent="0.35">
      <c r="B90" s="13" t="s">
        <v>164</v>
      </c>
      <c r="E90" s="45">
        <f>SUM(E82:E89)</f>
        <v>10974.240000000002</v>
      </c>
      <c r="F90" s="45">
        <f>SUM(F82:F89)</f>
        <v>10272.479999999998</v>
      </c>
      <c r="G90" s="45">
        <f>SUM(G82:G89)</f>
        <v>9012.5299999999988</v>
      </c>
      <c r="H90" s="45">
        <f>SUM(H82:H89)</f>
        <v>9618.98</v>
      </c>
      <c r="I90" s="45">
        <f>SUM(I82:I89)</f>
        <v>12859.81</v>
      </c>
      <c r="J90" s="45">
        <f t="shared" ref="J90:N90" si="54">SUM(J82:J89)</f>
        <v>14081.538817322207</v>
      </c>
      <c r="K90" s="45">
        <f t="shared" si="54"/>
        <v>15733.786623741058</v>
      </c>
      <c r="L90" s="45">
        <f t="shared" si="54"/>
        <v>16979.542467205283</v>
      </c>
      <c r="M90" s="45">
        <f t="shared" si="54"/>
        <v>18835.487217592763</v>
      </c>
      <c r="N90" s="45">
        <f t="shared" si="54"/>
        <v>20924.756947435915</v>
      </c>
    </row>
    <row r="91" spans="2:14" x14ac:dyDescent="0.35">
      <c r="B91" s="3" t="s">
        <v>82</v>
      </c>
      <c r="E91" s="43"/>
      <c r="F91" s="43"/>
      <c r="G91" s="43"/>
      <c r="H91" s="43"/>
      <c r="I91" s="43"/>
      <c r="J91" s="43"/>
      <c r="K91" s="43"/>
      <c r="L91" s="43"/>
      <c r="M91" s="43"/>
      <c r="N91" s="43"/>
    </row>
    <row r="92" spans="2:14" x14ac:dyDescent="0.35">
      <c r="B92" s="3" t="s">
        <v>83</v>
      </c>
      <c r="E92" s="43"/>
      <c r="F92" s="43"/>
      <c r="G92" s="43"/>
      <c r="H92" s="43"/>
      <c r="I92" s="43"/>
      <c r="J92" s="43"/>
      <c r="K92" s="43"/>
      <c r="L92" s="43"/>
      <c r="M92" s="43"/>
      <c r="N92" s="43"/>
    </row>
    <row r="93" spans="2:14" x14ac:dyDescent="0.35">
      <c r="B93" t="s">
        <v>76</v>
      </c>
      <c r="E93" s="43">
        <f>'Balance Sheet '!E49</f>
        <v>296.85000000000002</v>
      </c>
      <c r="F93" s="43">
        <f>'Balance Sheet '!F49</f>
        <v>317.31</v>
      </c>
      <c r="G93" s="43">
        <f>'Balance Sheet '!G49</f>
        <v>293.14999999999998</v>
      </c>
      <c r="H93" s="43">
        <f>'Balance Sheet '!H49</f>
        <v>363.43</v>
      </c>
      <c r="I93" s="43">
        <f>'Balance Sheet '!I49</f>
        <v>456.76</v>
      </c>
      <c r="J93" s="43">
        <f>J116*'Revenue Model'!J$19/365</f>
        <v>482.78834343628051</v>
      </c>
      <c r="K93" s="43">
        <f>K116*'Revenue Model'!K$19/365</f>
        <v>541.51122024699282</v>
      </c>
      <c r="L93" s="43">
        <f>L116*'Revenue Model'!L$19/365</f>
        <v>587.7775436034724</v>
      </c>
      <c r="M93" s="43">
        <f>M116*'Revenue Model'!M$19/365</f>
        <v>657.20640355722867</v>
      </c>
      <c r="N93" s="43">
        <f>N116*'Revenue Model'!N$19/365</f>
        <v>727.5032723421665</v>
      </c>
    </row>
    <row r="94" spans="2:14" x14ac:dyDescent="0.35">
      <c r="B94" t="s">
        <v>77</v>
      </c>
      <c r="E94" s="43">
        <f>'Balance Sheet '!E50</f>
        <v>29.57</v>
      </c>
      <c r="F94" s="43">
        <f>'Balance Sheet '!F50</f>
        <v>36.18</v>
      </c>
      <c r="G94" s="43">
        <f>'Balance Sheet '!G50</f>
        <v>34.630000000000003</v>
      </c>
      <c r="H94" s="43">
        <f>'Balance Sheet '!H50</f>
        <v>43.85</v>
      </c>
      <c r="I94" s="43">
        <f>'Balance Sheet '!I50</f>
        <v>46.96</v>
      </c>
      <c r="J94" s="43">
        <f>J117*'Revenue Model'!J$19/365</f>
        <v>53.108043988664136</v>
      </c>
      <c r="K94" s="43">
        <f>K117*'Revenue Model'!K$19/365</f>
        <v>59.436857727589874</v>
      </c>
      <c r="L94" s="43">
        <f>L117*'Revenue Model'!L$19/365</f>
        <v>65.131493040750087</v>
      </c>
      <c r="M94" s="43">
        <f>M117*'Revenue Model'!M$19/365</f>
        <v>72.598194339749355</v>
      </c>
      <c r="N94" s="43">
        <f>N117*'Revenue Model'!N$19/365</f>
        <v>79.751247082369446</v>
      </c>
    </row>
    <row r="95" spans="2:14" x14ac:dyDescent="0.35">
      <c r="B95" t="s">
        <v>84</v>
      </c>
      <c r="E95" s="43">
        <f>'Balance Sheet '!E51</f>
        <v>16.68</v>
      </c>
      <c r="F95" s="43">
        <f>'Balance Sheet '!F51</f>
        <v>26.19</v>
      </c>
      <c r="G95" s="43">
        <f>'Balance Sheet '!G51</f>
        <v>2.44</v>
      </c>
      <c r="H95" s="43">
        <f>'Balance Sheet '!H51</f>
        <v>18.739999999999998</v>
      </c>
      <c r="I95" s="43">
        <f>'Balance Sheet '!I51</f>
        <v>21.5</v>
      </c>
      <c r="J95" s="43">
        <f>J118*'Revenue Model'!J$19/365</f>
        <v>23.992803873230301</v>
      </c>
      <c r="K95" s="43">
        <f>K118*'Revenue Model'!K$19/365</f>
        <v>26.550805526058625</v>
      </c>
      <c r="L95" s="43">
        <f>L118*'Revenue Model'!L$19/365</f>
        <v>26.929598593463595</v>
      </c>
      <c r="M95" s="43">
        <f>M118*'Revenue Model'!M$19/365</f>
        <v>31.447494027357017</v>
      </c>
      <c r="N95" s="43">
        <f>N118*'Revenue Model'!N$19/365</f>
        <v>34.532949447905438</v>
      </c>
    </row>
    <row r="96" spans="2:14" x14ac:dyDescent="0.35">
      <c r="B96" t="s">
        <v>85</v>
      </c>
      <c r="E96" s="43">
        <f>'Balance Sheet '!E52</f>
        <v>5247.5</v>
      </c>
      <c r="F96" s="43">
        <f>'Balance Sheet '!F52</f>
        <v>4316.8999999999996</v>
      </c>
      <c r="G96" s="43">
        <f>'Balance Sheet '!G52</f>
        <v>4757.7</v>
      </c>
      <c r="H96" s="43">
        <f>'Balance Sheet '!H52</f>
        <v>5604.16</v>
      </c>
      <c r="I96" s="43">
        <f>'Balance Sheet '!I52</f>
        <v>5678.16</v>
      </c>
      <c r="J96" s="43">
        <f>J119*'Revenue Model'!J$19/365</f>
        <v>6858.1797437138775</v>
      </c>
      <c r="K96" s="43">
        <f>K119*'Revenue Model'!K$19/365</f>
        <v>7499.5803083600413</v>
      </c>
      <c r="L96" s="43">
        <f>L119*'Revenue Model'!L$19/365</f>
        <v>8317.8208221189689</v>
      </c>
      <c r="M96" s="43">
        <f>M119*'Revenue Model'!M$19/365</f>
        <v>9199.1083383326477</v>
      </c>
      <c r="N96" s="43">
        <f>N119*'Revenue Model'!N$19/365</f>
        <v>10097.262109962097</v>
      </c>
    </row>
    <row r="97" spans="2:14" x14ac:dyDescent="0.35">
      <c r="B97" t="s">
        <v>86</v>
      </c>
      <c r="E97" s="43">
        <f>'Balance Sheet '!E52</f>
        <v>5247.5</v>
      </c>
      <c r="F97" s="43">
        <f>'Balance Sheet '!F52</f>
        <v>4316.8999999999996</v>
      </c>
      <c r="G97" s="43">
        <f>'Balance Sheet '!G52</f>
        <v>4757.7</v>
      </c>
      <c r="H97" s="43">
        <f>'Balance Sheet '!H52</f>
        <v>5604.16</v>
      </c>
      <c r="I97" s="43">
        <f>'Balance Sheet '!I53</f>
        <v>282.94</v>
      </c>
      <c r="J97" s="43">
        <f>J120*'Revenue Model'!J$19/365</f>
        <v>4374.5974109197568</v>
      </c>
      <c r="K97" s="43">
        <f>K120*'Revenue Model'!K$19/365</f>
        <v>4327.6305590566562</v>
      </c>
      <c r="L97" s="43">
        <f>L120*'Revenue Model'!L$19/365</f>
        <v>5234.2918677046637</v>
      </c>
      <c r="M97" s="43">
        <f>M120*'Revenue Model'!M$19/365</f>
        <v>5490.3947556173016</v>
      </c>
      <c r="N97" s="43">
        <f>N120*'Revenue Model'!N$19/365</f>
        <v>5612.5266433202232</v>
      </c>
    </row>
    <row r="98" spans="2:14" x14ac:dyDescent="0.35">
      <c r="B98" t="s">
        <v>87</v>
      </c>
      <c r="E98" s="43">
        <f>'Balance Sheet '!E53</f>
        <v>167.52</v>
      </c>
      <c r="F98" s="43">
        <f>'Balance Sheet '!F53</f>
        <v>145.58000000000001</v>
      </c>
      <c r="G98" s="43">
        <f>'Balance Sheet '!G53</f>
        <v>169.93</v>
      </c>
      <c r="H98" s="43">
        <f>'Balance Sheet '!H53</f>
        <v>254.9</v>
      </c>
      <c r="I98" s="43">
        <f>'Balance Sheet '!I54</f>
        <v>768.17</v>
      </c>
      <c r="J98" s="43">
        <f>J121*'Revenue Model'!J$19/365</f>
        <v>521.25919638996845</v>
      </c>
      <c r="K98" s="43">
        <f>K121*'Revenue Model'!K$19/365</f>
        <v>613.41829895088085</v>
      </c>
      <c r="L98" s="43">
        <f>L121*'Revenue Model'!L$19/365</f>
        <v>640.34504980387521</v>
      </c>
      <c r="M98" s="43">
        <f>M121*'Revenue Model'!M$19/365</f>
        <v>742.38566982493546</v>
      </c>
      <c r="N98" s="43">
        <f>N121*'Revenue Model'!N$19/365</f>
        <v>853.20606208398351</v>
      </c>
    </row>
    <row r="99" spans="2:14" x14ac:dyDescent="0.35">
      <c r="B99" t="s">
        <v>79</v>
      </c>
      <c r="E99" s="43">
        <f>'Balance Sheet '!E54</f>
        <v>570.59</v>
      </c>
      <c r="F99" s="43">
        <f>'Balance Sheet '!F54</f>
        <v>496.32</v>
      </c>
      <c r="G99" s="43">
        <f>'Balance Sheet '!G54</f>
        <v>562.09</v>
      </c>
      <c r="H99" s="43">
        <f>'Balance Sheet '!H54</f>
        <v>603.85</v>
      </c>
      <c r="I99" s="43">
        <f>'Balance Sheet '!I55</f>
        <v>221.49</v>
      </c>
      <c r="J99" s="43">
        <f>J122*'Revenue Model'!J$19/365</f>
        <v>571.90982349420528</v>
      </c>
      <c r="K99" s="43">
        <f>K122*'Revenue Model'!K$19/365</f>
        <v>597.3477659152436</v>
      </c>
      <c r="L99" s="43">
        <f>L122*'Revenue Model'!L$19/365</f>
        <v>694.49695096460482</v>
      </c>
      <c r="M99" s="43">
        <f>M122*'Revenue Model'!M$19/365</f>
        <v>740.91932661049418</v>
      </c>
      <c r="N99" s="43">
        <f>N122*'Revenue Model'!N$19/365</f>
        <v>783.65652672908209</v>
      </c>
    </row>
    <row r="100" spans="2:14" x14ac:dyDescent="0.35">
      <c r="B100" s="13" t="s">
        <v>88</v>
      </c>
      <c r="E100" s="45">
        <f t="shared" ref="E100:H100" si="55">SUM(E93:E99)</f>
        <v>11576.210000000001</v>
      </c>
      <c r="F100" s="45">
        <f t="shared" si="55"/>
        <v>9655.3799999999992</v>
      </c>
      <c r="G100" s="45">
        <f t="shared" si="55"/>
        <v>10577.64</v>
      </c>
      <c r="H100" s="45">
        <f t="shared" si="55"/>
        <v>12493.09</v>
      </c>
      <c r="I100" s="45">
        <f>SUM(I93:I99)</f>
        <v>7475.98</v>
      </c>
      <c r="J100" s="45">
        <f t="shared" ref="J100:N100" si="56">SUM(J93:J99)</f>
        <v>12885.835365815983</v>
      </c>
      <c r="K100" s="45">
        <f t="shared" si="56"/>
        <v>13665.475815783464</v>
      </c>
      <c r="L100" s="45">
        <f t="shared" si="56"/>
        <v>15566.793325829798</v>
      </c>
      <c r="M100" s="45">
        <f t="shared" si="56"/>
        <v>16934.060182309713</v>
      </c>
      <c r="N100" s="45">
        <f t="shared" si="56"/>
        <v>18188.438810967829</v>
      </c>
    </row>
    <row r="101" spans="2:14" x14ac:dyDescent="0.35">
      <c r="B101" s="3" t="s">
        <v>166</v>
      </c>
      <c r="E101" s="45">
        <f t="shared" ref="E101" si="57">E90-E100</f>
        <v>-601.96999999999935</v>
      </c>
      <c r="F101" s="45">
        <f t="shared" ref="F101" si="58">F90-F100</f>
        <v>617.09999999999854</v>
      </c>
      <c r="G101" s="45">
        <f t="shared" ref="G101" si="59">G90-G100</f>
        <v>-1565.1100000000006</v>
      </c>
      <c r="H101" s="45">
        <f t="shared" ref="H101" si="60">H90-H100</f>
        <v>-2874.1100000000006</v>
      </c>
      <c r="I101" s="45">
        <f t="shared" ref="I101" si="61">I90-I100</f>
        <v>5383.83</v>
      </c>
      <c r="J101" s="45">
        <f t="shared" ref="J101:N101" si="62">J90-J100</f>
        <v>1195.7034515062242</v>
      </c>
      <c r="K101" s="45">
        <f t="shared" si="62"/>
        <v>2068.3108079575941</v>
      </c>
      <c r="L101" s="45">
        <f t="shared" si="62"/>
        <v>1412.7491413754851</v>
      </c>
      <c r="M101" s="45">
        <f t="shared" si="62"/>
        <v>1901.4270352830499</v>
      </c>
      <c r="N101" s="45">
        <f t="shared" si="62"/>
        <v>2736.3181364680859</v>
      </c>
    </row>
    <row r="102" spans="2:14" x14ac:dyDescent="0.35">
      <c r="B102" s="3" t="s">
        <v>167</v>
      </c>
      <c r="E102" s="45">
        <f t="shared" ref="E102" si="63">E101-D101</f>
        <v>-601.96999999999935</v>
      </c>
      <c r="F102" s="45">
        <f t="shared" ref="F102" si="64">F101-E101</f>
        <v>1219.0699999999979</v>
      </c>
      <c r="G102" s="45">
        <f t="shared" ref="G102" si="65">G101-F101</f>
        <v>-2182.2099999999991</v>
      </c>
      <c r="H102" s="45">
        <f t="shared" ref="H102" si="66">H101-G101</f>
        <v>-1309</v>
      </c>
      <c r="I102" s="45">
        <f t="shared" ref="I102" si="67">I101-H101</f>
        <v>8257.94</v>
      </c>
      <c r="J102" s="45">
        <f t="shared" ref="J102" si="68">J101-I101</f>
        <v>-4188.1265484937758</v>
      </c>
      <c r="K102" s="45">
        <f t="shared" ref="K102" si="69">K101-J101</f>
        <v>872.60735645136992</v>
      </c>
      <c r="L102" s="45">
        <f t="shared" ref="L102" si="70">L101-K101</f>
        <v>-655.56166658210896</v>
      </c>
      <c r="M102" s="45">
        <f t="shared" ref="M102" si="71">M101-L101</f>
        <v>488.67789390756479</v>
      </c>
      <c r="N102" s="45">
        <f t="shared" ref="N102" si="72">N101-M101</f>
        <v>834.89110118503595</v>
      </c>
    </row>
    <row r="103" spans="2:14" x14ac:dyDescent="0.35">
      <c r="B103" s="3"/>
      <c r="E103" s="43"/>
      <c r="F103" s="43"/>
      <c r="G103" s="43"/>
      <c r="H103" s="43"/>
      <c r="I103" s="43"/>
      <c r="J103" s="43"/>
      <c r="K103" s="43"/>
      <c r="L103" s="43"/>
      <c r="M103" s="43"/>
      <c r="N103" s="43"/>
    </row>
    <row r="104" spans="2:14" x14ac:dyDescent="0.35">
      <c r="B104" s="3"/>
      <c r="E104" s="43"/>
      <c r="F104" s="43"/>
      <c r="G104" s="43"/>
      <c r="H104" s="43"/>
      <c r="I104" s="43"/>
      <c r="J104" s="43"/>
      <c r="K104" s="43"/>
      <c r="L104" s="43"/>
      <c r="M104" s="43"/>
      <c r="N104" s="43"/>
    </row>
    <row r="105" spans="2:14" x14ac:dyDescent="0.35">
      <c r="B105" s="19" t="s">
        <v>169</v>
      </c>
      <c r="C105" s="20" t="s">
        <v>50</v>
      </c>
      <c r="D105" s="19"/>
      <c r="E105" s="53" t="s">
        <v>45</v>
      </c>
      <c r="F105" s="53" t="s">
        <v>44</v>
      </c>
      <c r="G105" s="53" t="s">
        <v>43</v>
      </c>
      <c r="H105" s="53" t="s">
        <v>42</v>
      </c>
      <c r="I105" s="53" t="s">
        <v>41</v>
      </c>
      <c r="J105" s="53" t="s">
        <v>40</v>
      </c>
      <c r="K105" s="53" t="s">
        <v>39</v>
      </c>
      <c r="L105" s="53" t="s">
        <v>38</v>
      </c>
      <c r="M105" s="53" t="s">
        <v>37</v>
      </c>
      <c r="N105" s="53" t="s">
        <v>36</v>
      </c>
    </row>
    <row r="106" spans="2:14" x14ac:dyDescent="0.35">
      <c r="B106" t="s">
        <v>61</v>
      </c>
      <c r="C106" s="27"/>
      <c r="E106" s="43">
        <f>E82*365/'Revenue Model'!E$19</f>
        <v>21.094981813154671</v>
      </c>
      <c r="F106" s="43">
        <f>F82*365/'Revenue Model'!F$19</f>
        <v>18.366517573675612</v>
      </c>
      <c r="G106" s="43">
        <f>G82*365/'Revenue Model'!G$19</f>
        <v>18.767937765198468</v>
      </c>
      <c r="H106" s="43">
        <f>H82*365/'Revenue Model'!H$19</f>
        <v>16.960225062465899</v>
      </c>
      <c r="I106" s="43">
        <f>I82*365/'Revenue Model'!I$19</f>
        <v>17.957177088327413</v>
      </c>
      <c r="J106" s="43">
        <f>I106*40%+H106*30%+G106*10%+F106*10%+E106*10%</f>
        <v>18.093882069273608</v>
      </c>
      <c r="K106" s="43">
        <f t="shared" ref="K106:N106" si="73">J106*40%+I106*30%+H106*10%+G106*10%+F106*10%</f>
        <v>18.034173994341664</v>
      </c>
      <c r="L106" s="43">
        <f t="shared" si="73"/>
        <v>18.010368210117928</v>
      </c>
      <c r="M106" s="43">
        <f t="shared" si="73"/>
        <v>17.91552790435636</v>
      </c>
      <c r="N106" s="43">
        <f t="shared" si="73"/>
        <v>17.97784493997219</v>
      </c>
    </row>
    <row r="107" spans="2:14" x14ac:dyDescent="0.35">
      <c r="B107" t="s">
        <v>56</v>
      </c>
      <c r="E107" s="43"/>
      <c r="F107" s="43"/>
      <c r="G107" s="43"/>
      <c r="H107" s="43"/>
      <c r="I107" s="43"/>
      <c r="J107" s="43"/>
      <c r="K107" s="43"/>
      <c r="L107" s="43"/>
      <c r="M107" s="43"/>
      <c r="N107" s="43"/>
    </row>
    <row r="108" spans="2:14" x14ac:dyDescent="0.35">
      <c r="B108" t="s">
        <v>105</v>
      </c>
      <c r="E108" s="43">
        <f>E84*365/'Revenue Model'!E$19</f>
        <v>73.394979003003627</v>
      </c>
      <c r="F108" s="43">
        <f>F84*365/'Revenue Model'!F$19</f>
        <v>73.224952138279207</v>
      </c>
      <c r="G108" s="43">
        <f>G84*365/'Revenue Model'!G$19</f>
        <v>39.235620951579079</v>
      </c>
      <c r="H108" s="43">
        <f>H84*365/'Revenue Model'!H$19</f>
        <v>41.582735754838367</v>
      </c>
      <c r="I108" s="43">
        <f>I84*365/'Revenue Model'!I$19</f>
        <v>59.18704619506385</v>
      </c>
      <c r="J108" s="43">
        <f>I108*40%+H108*30%+G108*10%+F108*10%+E108*10%</f>
        <v>54.735194413763246</v>
      </c>
      <c r="K108" s="43">
        <f t="shared" ref="K108:N108" si="74">J108*40%+I108*30%+H108*10%+G108*10%+F108*10%</f>
        <v>55.054522508494124</v>
      </c>
      <c r="L108" s="43">
        <f t="shared" si="74"/>
        <v>52.442907617674756</v>
      </c>
      <c r="M108" s="43">
        <f t="shared" si="74"/>
        <v>53.044017435984692</v>
      </c>
      <c r="N108" s="43">
        <f t="shared" si="74"/>
        <v>53.848155571428421</v>
      </c>
    </row>
    <row r="109" spans="2:14" x14ac:dyDescent="0.35">
      <c r="B109" t="s">
        <v>62</v>
      </c>
      <c r="E109" s="43">
        <f>E85*365/'Revenue Model'!E$19</f>
        <v>26.817826952190931</v>
      </c>
      <c r="F109" s="43">
        <f>F85*365/'Revenue Model'!F$19</f>
        <v>26.924528166477455</v>
      </c>
      <c r="G109" s="43">
        <f>G85*365/'Revenue Model'!G$19</f>
        <v>29.05894688214136</v>
      </c>
      <c r="H109" s="43">
        <f>H85*365/'Revenue Model'!H$19</f>
        <v>25.405275450651548</v>
      </c>
      <c r="I109" s="43">
        <f>I85*365/'Revenue Model'!I$19</f>
        <v>30.158057415533694</v>
      </c>
      <c r="J109" s="43">
        <f t="shared" ref="J109:J113" si="75">I109*40%+H109*30%+G109*10%+F109*10%+E109*10%</f>
        <v>27.964935801489915</v>
      </c>
      <c r="K109" s="43">
        <f t="shared" ref="K109:K113" si="76">J109*40%+I109*30%+H109*10%+G109*10%+F109*10%</f>
        <v>28.37226659518311</v>
      </c>
      <c r="L109" s="43">
        <f t="shared" ref="L109:L113" si="77">K109*40%+J109*30%+I109*10%+H109*10%+G109*10%</f>
        <v>28.200615353352877</v>
      </c>
      <c r="M109" s="43">
        <f t="shared" ref="M109:M113" si="78">L109*40%+K109*30%+J109*10%+I109*10%+H109*10%</f>
        <v>28.144752986663597</v>
      </c>
      <c r="N109" s="43">
        <f t="shared" ref="N109:N113" si="79">M109*40%+L109*30%+K109*10%+J109*10%+I109*10%</f>
        <v>28.367611781891977</v>
      </c>
    </row>
    <row r="110" spans="2:14" x14ac:dyDescent="0.35">
      <c r="B110" t="s">
        <v>64</v>
      </c>
      <c r="E110" s="43">
        <f>E86*365/'Revenue Model'!E$19</f>
        <v>0.27057393943446195</v>
      </c>
      <c r="F110" s="43">
        <f>F86*365/'Revenue Model'!F$19</f>
        <v>0.28452690884708787</v>
      </c>
      <c r="G110" s="43">
        <f>G86*365/'Revenue Model'!G$19</f>
        <v>0.25335364264932936</v>
      </c>
      <c r="H110" s="43">
        <f>H86*365/'Revenue Model'!H$19</f>
        <v>0.23722485764232726</v>
      </c>
      <c r="I110" s="43">
        <f>I86*365/'Revenue Model'!I$19</f>
        <v>0.24143998717604731</v>
      </c>
      <c r="J110" s="43">
        <f t="shared" si="75"/>
        <v>0.248588901256205</v>
      </c>
      <c r="K110" s="43">
        <f t="shared" si="76"/>
        <v>0.24937809756917062</v>
      </c>
      <c r="L110" s="43">
        <f t="shared" si="77"/>
        <v>0.24752975815130013</v>
      </c>
      <c r="M110" s="43">
        <f t="shared" si="78"/>
        <v>0.2465507071387292</v>
      </c>
      <c r="N110" s="43">
        <f t="shared" si="79"/>
        <v>0.24681990890102401</v>
      </c>
    </row>
    <row r="111" spans="2:14" x14ac:dyDescent="0.35">
      <c r="B111" t="s">
        <v>106</v>
      </c>
      <c r="E111" s="43">
        <f>E87*365/'Revenue Model'!E$19</f>
        <v>4.5101551429478608</v>
      </c>
      <c r="F111" s="43">
        <f>F87*365/'Revenue Model'!F$19</f>
        <v>5.9250452302659689</v>
      </c>
      <c r="G111" s="43">
        <f>G87*365/'Revenue Model'!G$19</f>
        <v>6.1083766267604016</v>
      </c>
      <c r="H111" s="43">
        <f>H87*365/'Revenue Model'!H$19</f>
        <v>4.0908731252953929</v>
      </c>
      <c r="I111" s="43">
        <f>I87*365/'Revenue Model'!I$19</f>
        <v>1.2628551083951436</v>
      </c>
      <c r="J111" s="43">
        <f t="shared" si="75"/>
        <v>3.3867616809440988</v>
      </c>
      <c r="K111" s="43">
        <f t="shared" si="76"/>
        <v>3.3459907031283596</v>
      </c>
      <c r="L111" s="43">
        <f t="shared" si="77"/>
        <v>3.5006352715796671</v>
      </c>
      <c r="M111" s="43">
        <f t="shared" si="78"/>
        <v>3.278100311033838</v>
      </c>
      <c r="N111" s="43">
        <f t="shared" si="79"/>
        <v>3.1609914551341953</v>
      </c>
    </row>
    <row r="112" spans="2:14" x14ac:dyDescent="0.35">
      <c r="B112" t="s">
        <v>107</v>
      </c>
      <c r="E112" s="43">
        <f>E88*365/'Revenue Model'!E$19</f>
        <v>0</v>
      </c>
      <c r="F112" s="43">
        <f>F88*365/'Revenue Model'!F$19</f>
        <v>0</v>
      </c>
      <c r="G112" s="43">
        <f>G88*365/'Revenue Model'!G$19</f>
        <v>0</v>
      </c>
      <c r="H112" s="43">
        <f>H88*365/'Revenue Model'!H$19</f>
        <v>0</v>
      </c>
      <c r="I112" s="43">
        <f>I88*365/'Revenue Model'!I$19</f>
        <v>1.7670517273483006</v>
      </c>
      <c r="J112" s="43">
        <f t="shared" si="75"/>
        <v>0.70682069093932032</v>
      </c>
      <c r="K112" s="43">
        <f t="shared" si="76"/>
        <v>0.81284379458021827</v>
      </c>
      <c r="L112" s="43">
        <f t="shared" si="77"/>
        <v>0.71388889784871357</v>
      </c>
      <c r="M112" s="43">
        <f t="shared" si="78"/>
        <v>0.77679593934231306</v>
      </c>
      <c r="N112" s="43">
        <f t="shared" si="79"/>
        <v>0.85355666637832328</v>
      </c>
    </row>
    <row r="113" spans="2:14" x14ac:dyDescent="0.35">
      <c r="B113" t="s">
        <v>108</v>
      </c>
      <c r="E113" s="43">
        <f>E89*365/'Revenue Model'!E$19</f>
        <v>3.2946356154666834</v>
      </c>
      <c r="F113" s="43">
        <f>F89*365/'Revenue Model'!F$19</f>
        <v>3.4110797235126986</v>
      </c>
      <c r="G113" s="43">
        <f>G89*365/'Revenue Model'!G$19</f>
        <v>2.8793198038080257</v>
      </c>
      <c r="H113" s="43">
        <f>H89*365/'Revenue Model'!H$19</f>
        <v>4.6333221483081424</v>
      </c>
      <c r="I113" s="43">
        <f>I89*365/'Revenue Model'!I$19</f>
        <v>4.1242801799067621</v>
      </c>
      <c r="J113" s="43">
        <f t="shared" si="75"/>
        <v>3.9982122307338885</v>
      </c>
      <c r="K113" s="43">
        <f t="shared" si="76"/>
        <v>3.9289411138284707</v>
      </c>
      <c r="L113" s="43">
        <f t="shared" si="77"/>
        <v>3.9347323279538484</v>
      </c>
      <c r="M113" s="43">
        <f t="shared" si="78"/>
        <v>4.0281567212249598</v>
      </c>
      <c r="N113" s="43">
        <f t="shared" si="79"/>
        <v>3.9968257393230511</v>
      </c>
    </row>
    <row r="114" spans="2:14" x14ac:dyDescent="0.35">
      <c r="B114" s="19" t="s">
        <v>168</v>
      </c>
      <c r="C114" s="20" t="s">
        <v>50</v>
      </c>
      <c r="D114" s="19"/>
      <c r="E114" s="53" t="s">
        <v>45</v>
      </c>
      <c r="F114" s="53" t="s">
        <v>44</v>
      </c>
      <c r="G114" s="53" t="s">
        <v>43</v>
      </c>
      <c r="H114" s="53" t="s">
        <v>42</v>
      </c>
      <c r="I114" s="53" t="s">
        <v>41</v>
      </c>
      <c r="J114" s="53" t="s">
        <v>40</v>
      </c>
      <c r="K114" s="53" t="s">
        <v>39</v>
      </c>
      <c r="L114" s="53" t="s">
        <v>38</v>
      </c>
      <c r="M114" s="53" t="s">
        <v>37</v>
      </c>
      <c r="N114" s="53" t="s">
        <v>36</v>
      </c>
    </row>
    <row r="115" spans="2:14" x14ac:dyDescent="0.35">
      <c r="B115" s="3" t="s">
        <v>83</v>
      </c>
      <c r="E115" s="43"/>
      <c r="F115" s="43"/>
      <c r="G115" s="43"/>
      <c r="H115" s="43"/>
      <c r="I115" s="43"/>
      <c r="J115" s="43"/>
      <c r="K115" s="43"/>
      <c r="L115" s="43"/>
      <c r="M115" s="43"/>
      <c r="N115" s="43"/>
    </row>
    <row r="116" spans="2:14" x14ac:dyDescent="0.35">
      <c r="B116" t="s">
        <v>76</v>
      </c>
      <c r="E116" s="43">
        <f>E93*365/'Revenue Model'!E$19</f>
        <v>3.4997766414431388</v>
      </c>
      <c r="F116" s="43">
        <f>F93*365/'Revenue Model'!F$19</f>
        <v>3.9580549516119885</v>
      </c>
      <c r="G116" s="43">
        <f>G93*365/'Revenue Model'!G$19</f>
        <v>3.1324597360881858</v>
      </c>
      <c r="H116" s="43">
        <f>H93*365/'Revenue Model'!H$19</f>
        <v>3.5103676715370931</v>
      </c>
      <c r="I116" s="43">
        <f>I93*365/'Revenue Model'!I$19</f>
        <v>4.0738872753059248</v>
      </c>
      <c r="J116" s="43">
        <f>I116*40%+H116*30%+G116*10%+F116*10%+E116*10%</f>
        <v>3.7416943444978292</v>
      </c>
      <c r="K116" s="43">
        <f t="shared" ref="K116:N116" si="80">J116*40%+I116*30%+H116*10%+G116*10%+F116*10%</f>
        <v>3.7789321563146356</v>
      </c>
      <c r="L116" s="43">
        <f t="shared" si="80"/>
        <v>3.7057526341683236</v>
      </c>
      <c r="M116" s="43">
        <f t="shared" si="80"/>
        <v>3.7485756296958046</v>
      </c>
      <c r="N116" s="43">
        <f t="shared" si="80"/>
        <v>3.7706074197406583</v>
      </c>
    </row>
    <row r="117" spans="2:14" x14ac:dyDescent="0.35">
      <c r="B117" t="s">
        <v>77</v>
      </c>
      <c r="E117" s="43">
        <f>E94*365/'Revenue Model'!E$19</f>
        <v>0.34862184701860732</v>
      </c>
      <c r="F117" s="43">
        <f>F94*365/'Revenue Model'!F$19</f>
        <v>0.45130133985478477</v>
      </c>
      <c r="G117" s="43">
        <f>G94*365/'Revenue Model'!G$19</f>
        <v>0.3700395042153638</v>
      </c>
      <c r="H117" s="43">
        <f>H94*365/'Revenue Model'!H$19</f>
        <v>0.42354682441433433</v>
      </c>
      <c r="I117" s="43">
        <f>I94*365/'Revenue Model'!I$19</f>
        <v>0.41884084956731377</v>
      </c>
      <c r="J117" s="43">
        <f t="shared" ref="J117:J122" si="81">I117*40%+H117*30%+G117*10%+F117*10%+E117*10%</f>
        <v>0.41159665626010145</v>
      </c>
      <c r="K117" s="43">
        <f t="shared" ref="K117:K122" si="82">J117*40%+I117*30%+H117*10%+G117*10%+F117*10%</f>
        <v>0.41477968422268302</v>
      </c>
      <c r="L117" s="43">
        <f t="shared" ref="L117:L122" si="83">K117*40%+J117*30%+I117*10%+H117*10%+G117*10%</f>
        <v>0.4106335883868048</v>
      </c>
      <c r="M117" s="43">
        <f t="shared" ref="M117:M122" si="84">L117*40%+K117*30%+J117*10%+I117*10%+H117*10%</f>
        <v>0.4140857736457017</v>
      </c>
      <c r="N117" s="43">
        <f t="shared" ref="N117:N122" si="85">M117*40%+L117*30%+K117*10%+J117*10%+I117*10%</f>
        <v>0.413346104979332</v>
      </c>
    </row>
    <row r="118" spans="2:14" x14ac:dyDescent="0.35">
      <c r="B118" t="s">
        <v>84</v>
      </c>
      <c r="E118" s="43">
        <f>E95*365/'Revenue Model'!E$19</f>
        <v>0.19665243179811873</v>
      </c>
      <c r="F118" s="43">
        <f>F95*365/'Revenue Model'!F$19</f>
        <v>0.32668828332771732</v>
      </c>
      <c r="G118" s="43">
        <f>G95*365/'Revenue Model'!G$19</f>
        <v>2.6072665038564473E-2</v>
      </c>
      <c r="H118" s="43">
        <f>H95*365/'Revenue Model'!H$19</f>
        <v>0.1810095208557497</v>
      </c>
      <c r="I118" s="43">
        <f>I95*365/'Revenue Model'!I$19</f>
        <v>0.19176061042796519</v>
      </c>
      <c r="J118" s="43">
        <f t="shared" si="81"/>
        <v>0.18594843844435105</v>
      </c>
      <c r="K118" s="43">
        <f t="shared" si="82"/>
        <v>0.18528460542833314</v>
      </c>
      <c r="L118" s="43">
        <f t="shared" si="83"/>
        <v>0.16978265333686651</v>
      </c>
      <c r="M118" s="43">
        <f t="shared" si="84"/>
        <v>0.17937029993605313</v>
      </c>
      <c r="N118" s="43">
        <f t="shared" si="85"/>
        <v>0.17898228140554612</v>
      </c>
    </row>
    <row r="119" spans="2:14" x14ac:dyDescent="0.35">
      <c r="B119" t="s">
        <v>85</v>
      </c>
      <c r="E119" s="43">
        <f>E96*365/'Revenue Model'!E$19</f>
        <v>61.866524931692332</v>
      </c>
      <c r="F119" s="43">
        <f>F96*365/'Revenue Model'!F$19</f>
        <v>53.848058430600332</v>
      </c>
      <c r="G119" s="43">
        <f>G96*365/'Revenue Model'!G$19</f>
        <v>50.838491169663193</v>
      </c>
      <c r="H119" s="43">
        <f>H96*365/'Revenue Model'!H$19</f>
        <v>54.130539829186674</v>
      </c>
      <c r="I119" s="43">
        <f>I96*365/'Revenue Model'!I$19</f>
        <v>50.644066405007194</v>
      </c>
      <c r="J119" s="43">
        <f t="shared" si="81"/>
        <v>53.152095963954473</v>
      </c>
      <c r="K119" s="43">
        <f t="shared" si="82"/>
        <v>52.335767250028972</v>
      </c>
      <c r="L119" s="43">
        <f t="shared" si="83"/>
        <v>52.441245429583645</v>
      </c>
      <c r="M119" s="43">
        <f t="shared" si="84"/>
        <v>52.469898566656987</v>
      </c>
      <c r="N119" s="43">
        <f t="shared" si="85"/>
        <v>52.333526017436959</v>
      </c>
    </row>
    <row r="120" spans="2:14" x14ac:dyDescent="0.35">
      <c r="B120" t="s">
        <v>86</v>
      </c>
      <c r="E120" s="43">
        <f>E97*365/'Revenue Model'!E$19</f>
        <v>61.866524931692332</v>
      </c>
      <c r="F120" s="43">
        <f>F97*365/'Revenue Model'!F$19</f>
        <v>53.848058430600332</v>
      </c>
      <c r="G120" s="43">
        <f>G97*365/'Revenue Model'!G$19</f>
        <v>50.838491169663193</v>
      </c>
      <c r="H120" s="43">
        <f>H97*365/'Revenue Model'!H$19</f>
        <v>54.130539829186674</v>
      </c>
      <c r="I120" s="43">
        <f>I97*365/'Revenue Model'!I$19</f>
        <v>2.5235696332320221</v>
      </c>
      <c r="J120" s="43">
        <f t="shared" si="81"/>
        <v>33.903897255244402</v>
      </c>
      <c r="K120" s="43">
        <f t="shared" si="82"/>
        <v>30.200338735012387</v>
      </c>
      <c r="L120" s="43">
        <f t="shared" si="83"/>
        <v>33.000564733786469</v>
      </c>
      <c r="M120" s="43">
        <f t="shared" si="84"/>
        <v>31.316128185784613</v>
      </c>
      <c r="N120" s="43">
        <f t="shared" si="85"/>
        <v>29.08940125679867</v>
      </c>
    </row>
    <row r="121" spans="2:14" x14ac:dyDescent="0.35">
      <c r="B121" t="s">
        <v>87</v>
      </c>
      <c r="E121" s="43">
        <f>E98*365/'Revenue Model'!E$19</f>
        <v>1.9750129121595235</v>
      </c>
      <c r="F121" s="43">
        <f>F98*365/'Revenue Model'!F$19</f>
        <v>1.8159328097307785</v>
      </c>
      <c r="G121" s="43">
        <f>G98*365/'Revenue Model'!G$19</f>
        <v>1.8157901516406807</v>
      </c>
      <c r="H121" s="43">
        <f>H98*365/'Revenue Model'!H$19</f>
        <v>2.4620772073708967</v>
      </c>
      <c r="I121" s="43">
        <f>I98*365/'Revenue Model'!I$19</f>
        <v>6.8513836331372096</v>
      </c>
      <c r="J121" s="43">
        <f t="shared" si="81"/>
        <v>4.0398502028192516</v>
      </c>
      <c r="K121" s="43">
        <f t="shared" si="82"/>
        <v>4.2807351879430993</v>
      </c>
      <c r="L121" s="43">
        <f t="shared" si="83"/>
        <v>4.0371742352378943</v>
      </c>
      <c r="M121" s="43">
        <f t="shared" si="84"/>
        <v>4.2344213548108236</v>
      </c>
      <c r="N121" s="43">
        <f t="shared" si="85"/>
        <v>4.4221177148856539</v>
      </c>
    </row>
    <row r="122" spans="2:14" x14ac:dyDescent="0.35">
      <c r="B122" t="s">
        <v>79</v>
      </c>
      <c r="E122" s="43">
        <f>E99*365/'Revenue Model'!E$19</f>
        <v>6.7270929891899627</v>
      </c>
      <c r="F122" s="43">
        <f>F99*365/'Revenue Model'!F$19</f>
        <v>6.1909862077591695</v>
      </c>
      <c r="G122" s="43">
        <f>G99*365/'Revenue Model'!G$19</f>
        <v>6.0062230702978292</v>
      </c>
      <c r="H122" s="43">
        <f>H99*365/'Revenue Model'!H$19</f>
        <v>5.8325826664217963</v>
      </c>
      <c r="I122" s="43">
        <f>I99*365/'Revenue Model'!I$19</f>
        <v>1.975491051334419</v>
      </c>
      <c r="J122" s="43">
        <f t="shared" si="81"/>
        <v>4.4324014471850024</v>
      </c>
      <c r="K122" s="43">
        <f t="shared" si="82"/>
        <v>4.168587088722207</v>
      </c>
      <c r="L122" s="43">
        <f t="shared" si="83"/>
        <v>4.3785849484497881</v>
      </c>
      <c r="M122" s="43">
        <f t="shared" si="84"/>
        <v>4.2260576224906989</v>
      </c>
      <c r="N122" s="43">
        <f t="shared" si="85"/>
        <v>4.0616464922553792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6E66-D138-4D85-8C50-09A0836CA96A}">
  <dimension ref="A1:M1235"/>
  <sheetViews>
    <sheetView showGridLines="0" topLeftCell="F8" workbookViewId="0">
      <selection activeCell="M26" sqref="M26"/>
    </sheetView>
  </sheetViews>
  <sheetFormatPr defaultRowHeight="14.5" x14ac:dyDescent="0.35"/>
  <cols>
    <col min="1" max="1" width="10.7265625" customWidth="1"/>
    <col min="2" max="2" width="13.54296875" customWidth="1"/>
    <col min="4" max="4" width="10.7265625" bestFit="1" customWidth="1"/>
    <col min="5" max="5" width="12.7265625" customWidth="1"/>
    <col min="6" max="6" width="13.81640625" customWidth="1"/>
    <col min="7" max="7" width="11.54296875" customWidth="1"/>
    <col min="9" max="9" width="20.36328125" customWidth="1"/>
    <col min="10" max="10" width="16.7265625" customWidth="1"/>
    <col min="11" max="11" width="43.54296875" customWidth="1"/>
    <col min="12" max="12" width="20" bestFit="1" customWidth="1"/>
    <col min="13" max="13" width="11.54296875" customWidth="1"/>
  </cols>
  <sheetData>
    <row r="1" spans="1:12" ht="15" thickBot="1" x14ac:dyDescent="0.4"/>
    <row r="2" spans="1:12" x14ac:dyDescent="0.35">
      <c r="A2" t="s">
        <v>212</v>
      </c>
      <c r="B2" t="s">
        <v>213</v>
      </c>
      <c r="C2" t="s">
        <v>212</v>
      </c>
      <c r="D2" t="s">
        <v>262</v>
      </c>
      <c r="E2" t="s">
        <v>214</v>
      </c>
      <c r="F2" t="s">
        <v>264</v>
      </c>
      <c r="K2" s="104" t="s">
        <v>228</v>
      </c>
      <c r="L2" s="105">
        <v>5472.5</v>
      </c>
    </row>
    <row r="3" spans="1:12" ht="15" thickBot="1" x14ac:dyDescent="0.4">
      <c r="B3" s="43">
        <v>1639.65</v>
      </c>
      <c r="D3" s="43">
        <v>8253.7999999999993</v>
      </c>
      <c r="E3" s="16">
        <f>B3/B4-1</f>
        <v>3.6408457381245984E-2</v>
      </c>
      <c r="F3" s="16">
        <f>D3/D4-1</f>
        <v>2.1029713748484502E-2</v>
      </c>
      <c r="G3" s="16"/>
      <c r="K3" s="106" t="s">
        <v>263</v>
      </c>
      <c r="L3" s="174">
        <v>20.02</v>
      </c>
    </row>
    <row r="4" spans="1:12" x14ac:dyDescent="0.35">
      <c r="B4" s="43">
        <v>1582.05</v>
      </c>
      <c r="D4" s="43">
        <v>8083.8</v>
      </c>
      <c r="E4" s="16">
        <f t="shared" ref="E4:E67" si="0">B4/B5-1</f>
        <v>-0.10578227447433874</v>
      </c>
      <c r="F4" s="16">
        <f t="shared" ref="F4:F67" si="1">D4/D5-1</f>
        <v>-8.0571415572894156E-2</v>
      </c>
      <c r="G4" s="16"/>
    </row>
    <row r="5" spans="1:12" ht="15" thickBot="1" x14ac:dyDescent="0.4">
      <c r="B5" s="43">
        <v>1769.2</v>
      </c>
      <c r="D5" s="43">
        <v>8792.2000000000007</v>
      </c>
      <c r="E5" s="16">
        <f t="shared" si="0"/>
        <v>-2.8792578157165183E-2</v>
      </c>
      <c r="F5" s="16">
        <f t="shared" si="1"/>
        <v>4.9664237748250351E-3</v>
      </c>
      <c r="G5" s="16"/>
      <c r="I5" t="s">
        <v>265</v>
      </c>
      <c r="J5">
        <f>SLOPE(E3:E1234,F3:F1234)</f>
        <v>0.86700671832734089</v>
      </c>
    </row>
    <row r="6" spans="1:12" ht="15" thickBot="1" x14ac:dyDescent="0.4">
      <c r="B6" s="43">
        <v>1821.65</v>
      </c>
      <c r="D6" s="43">
        <v>8748.75</v>
      </c>
      <c r="E6" s="16">
        <f t="shared" si="0"/>
        <v>-8.5011803706866229E-2</v>
      </c>
      <c r="F6" s="16">
        <f t="shared" si="1"/>
        <v>-3.9854476014881568E-2</v>
      </c>
      <c r="G6" s="16"/>
      <c r="I6" s="168" t="s">
        <v>215</v>
      </c>
      <c r="J6" s="169"/>
    </row>
    <row r="7" spans="1:12" x14ac:dyDescent="0.35">
      <c r="B7" s="43">
        <v>1990.9</v>
      </c>
      <c r="D7" s="43">
        <v>9111.9</v>
      </c>
      <c r="E7" s="16">
        <f t="shared" si="0"/>
        <v>3.7440400198014645E-2</v>
      </c>
      <c r="F7" s="16">
        <f t="shared" si="1"/>
        <v>1.3125635851164885E-2</v>
      </c>
      <c r="G7" s="16"/>
      <c r="I7" s="81" t="s">
        <v>216</v>
      </c>
      <c r="J7" s="108">
        <f>_xlfn.COVARIANCE.S(E3:E1234,F3:F1234)/_xlfn.VAR.S(F3:F1234)</f>
        <v>0.86700671832734255</v>
      </c>
      <c r="K7" s="113" t="s">
        <v>230</v>
      </c>
    </row>
    <row r="8" spans="1:12" x14ac:dyDescent="0.35">
      <c r="B8" s="43">
        <v>1919.05</v>
      </c>
      <c r="D8" s="43">
        <v>8993.85</v>
      </c>
      <c r="E8" s="16">
        <f t="shared" si="0"/>
        <v>5.205306726604908E-2</v>
      </c>
      <c r="F8" s="16">
        <f t="shared" si="1"/>
        <v>7.6804141037276619E-3</v>
      </c>
      <c r="G8" s="16"/>
      <c r="I8" s="82" t="s">
        <v>217</v>
      </c>
      <c r="J8" s="107">
        <v>7.0599999999999996E-2</v>
      </c>
      <c r="K8" s="112" t="s">
        <v>231</v>
      </c>
    </row>
    <row r="9" spans="1:12" x14ac:dyDescent="0.35">
      <c r="B9" s="43">
        <v>1824.1</v>
      </c>
      <c r="D9" s="43">
        <v>8925.2999999999993</v>
      </c>
      <c r="E9" s="16">
        <f t="shared" si="0"/>
        <v>2.3251900260847558E-2</v>
      </c>
      <c r="F9" s="16">
        <f t="shared" si="1"/>
        <v>-7.5060048038431137E-3</v>
      </c>
      <c r="G9" s="16"/>
      <c r="I9" s="82" t="s">
        <v>218</v>
      </c>
      <c r="J9" s="83">
        <v>7.0800000000000002E-2</v>
      </c>
      <c r="K9" s="112" t="s">
        <v>232</v>
      </c>
      <c r="L9" s="173"/>
    </row>
    <row r="10" spans="1:12" x14ac:dyDescent="0.35">
      <c r="B10" s="43">
        <v>1782.65</v>
      </c>
      <c r="D10" s="43">
        <v>8992.7999999999993</v>
      </c>
      <c r="E10" s="16">
        <f t="shared" si="0"/>
        <v>-2.9004847758592467E-2</v>
      </c>
      <c r="F10" s="16">
        <f t="shared" si="1"/>
        <v>-2.9562683788814881E-2</v>
      </c>
      <c r="G10" s="16"/>
      <c r="I10" s="82"/>
      <c r="J10" s="84"/>
    </row>
    <row r="11" spans="1:12" x14ac:dyDescent="0.35">
      <c r="B11" s="43">
        <v>1835.9</v>
      </c>
      <c r="D11" s="43">
        <v>9266.75</v>
      </c>
      <c r="E11" s="16">
        <f t="shared" si="0"/>
        <v>1.6640363263836999E-2</v>
      </c>
      <c r="F11" s="16">
        <f t="shared" si="1"/>
        <v>5.2905197125840964E-4</v>
      </c>
      <c r="G11" s="16"/>
      <c r="I11" s="85" t="s">
        <v>219</v>
      </c>
      <c r="J11" s="86">
        <f>J8+(J7*J9)</f>
        <v>0.13198407565757586</v>
      </c>
      <c r="K11" s="112" t="s">
        <v>229</v>
      </c>
    </row>
    <row r="12" spans="1:12" x14ac:dyDescent="0.35">
      <c r="B12" s="43">
        <v>1805.85</v>
      </c>
      <c r="D12" s="43">
        <v>9261.85</v>
      </c>
      <c r="E12" s="16">
        <f t="shared" si="0"/>
        <v>-1.1873820141719782E-2</v>
      </c>
      <c r="F12" s="16">
        <f t="shared" si="1"/>
        <v>3.1219903245021552E-2</v>
      </c>
      <c r="G12" s="16"/>
      <c r="I12" s="87"/>
      <c r="J12" s="88"/>
    </row>
    <row r="13" spans="1:12" x14ac:dyDescent="0.35">
      <c r="B13" s="43">
        <v>1827.55</v>
      </c>
      <c r="D13" s="43">
        <v>8981.4500000000007</v>
      </c>
      <c r="E13" s="16">
        <f t="shared" si="0"/>
        <v>-3.1838529388393044E-2</v>
      </c>
      <c r="F13" s="16">
        <f t="shared" si="1"/>
        <v>-2.2405929925005008E-2</v>
      </c>
      <c r="G13" s="16"/>
      <c r="I13" s="89" t="s">
        <v>220</v>
      </c>
      <c r="J13" s="90">
        <f>L2*L3</f>
        <v>109559.45</v>
      </c>
    </row>
    <row r="14" spans="1:12" x14ac:dyDescent="0.35">
      <c r="B14" s="43">
        <v>1887.65</v>
      </c>
      <c r="D14" s="43">
        <v>9187.2999999999993</v>
      </c>
      <c r="E14" s="16">
        <f t="shared" si="0"/>
        <v>1.214477211796261E-2</v>
      </c>
      <c r="F14" s="16">
        <f t="shared" si="1"/>
        <v>-1.3592587423098879E-2</v>
      </c>
      <c r="G14" s="16"/>
      <c r="I14" s="89" t="s">
        <v>261</v>
      </c>
      <c r="J14" s="90">
        <f>('Schedule Populated '!J53+'Schedule Populated '!J57)</f>
        <v>742.92138742494467</v>
      </c>
    </row>
    <row r="15" spans="1:12" x14ac:dyDescent="0.35">
      <c r="B15" s="43">
        <v>1865</v>
      </c>
      <c r="D15" s="43">
        <v>9313.9</v>
      </c>
      <c r="E15" s="16">
        <f t="shared" si="0"/>
        <v>-1.5727253535993246E-2</v>
      </c>
      <c r="F15" s="16">
        <f t="shared" si="1"/>
        <v>1.7423315564100372E-2</v>
      </c>
      <c r="G15" s="16"/>
      <c r="I15" s="91" t="s">
        <v>221</v>
      </c>
      <c r="J15" s="92">
        <f>'Schedule Populated '!J65</f>
        <v>0.11359446936074181</v>
      </c>
    </row>
    <row r="16" spans="1:12" x14ac:dyDescent="0.35">
      <c r="B16" s="43">
        <v>1894.8</v>
      </c>
      <c r="D16" s="43">
        <v>9154.4</v>
      </c>
      <c r="E16" s="16">
        <f t="shared" si="0"/>
        <v>-2.0876395204630027E-2</v>
      </c>
      <c r="F16" s="16">
        <f t="shared" si="1"/>
        <v>-1.3778912554000544E-2</v>
      </c>
      <c r="G16" s="16"/>
      <c r="I16" s="91" t="str">
        <f>I11</f>
        <v>Cost Of Equity</v>
      </c>
      <c r="J16" s="93">
        <f>J11</f>
        <v>0.13198407565757586</v>
      </c>
    </row>
    <row r="17" spans="2:13" x14ac:dyDescent="0.35">
      <c r="B17" s="43">
        <v>1935.2</v>
      </c>
      <c r="D17" s="43">
        <v>9282.2999999999993</v>
      </c>
      <c r="E17" s="16">
        <f t="shared" si="0"/>
        <v>-4.0656682620554552E-3</v>
      </c>
      <c r="F17" s="16">
        <f t="shared" si="1"/>
        <v>-1.0510718587768753E-2</v>
      </c>
      <c r="G17" s="16"/>
      <c r="I17" s="94" t="s">
        <v>222</v>
      </c>
      <c r="J17" s="83">
        <f>J14/SUM($J$13:$J$14)</f>
        <v>6.7353165492291646E-3</v>
      </c>
    </row>
    <row r="18" spans="2:13" x14ac:dyDescent="0.35">
      <c r="B18" s="43">
        <v>1943.1</v>
      </c>
      <c r="D18" s="43">
        <v>9380.9</v>
      </c>
      <c r="E18" s="16">
        <f t="shared" si="0"/>
        <v>-1.3779977160258916E-2</v>
      </c>
      <c r="F18" s="16">
        <f t="shared" si="1"/>
        <v>-1.8051259505827866E-2</v>
      </c>
      <c r="G18" s="16"/>
      <c r="I18" s="94" t="s">
        <v>223</v>
      </c>
      <c r="J18" s="84">
        <f>1-J17</f>
        <v>0.99326468345077079</v>
      </c>
    </row>
    <row r="19" spans="2:13" ht="15" thickBot="1" x14ac:dyDescent="0.4">
      <c r="B19" s="43">
        <v>1970.25</v>
      </c>
      <c r="D19" s="43">
        <v>9553.35</v>
      </c>
      <c r="E19" s="16">
        <f t="shared" si="0"/>
        <v>-9.0667835879447933E-2</v>
      </c>
      <c r="F19" s="16">
        <f t="shared" si="1"/>
        <v>-3.1090579011957442E-2</v>
      </c>
      <c r="G19" s="16"/>
      <c r="I19" s="95" t="s">
        <v>224</v>
      </c>
      <c r="J19" s="96">
        <v>0.25169999999999998</v>
      </c>
    </row>
    <row r="20" spans="2:13" ht="15.5" thickTop="1" thickBot="1" x14ac:dyDescent="0.4">
      <c r="B20" s="43">
        <v>2166.6999999999998</v>
      </c>
      <c r="D20" s="43">
        <v>9859.9</v>
      </c>
      <c r="E20" s="16">
        <f t="shared" si="0"/>
        <v>8.2970960163942564E-2</v>
      </c>
      <c r="F20" s="16">
        <f t="shared" si="1"/>
        <v>6.0945822348953627E-2</v>
      </c>
      <c r="G20" s="16"/>
      <c r="I20" s="97" t="s">
        <v>215</v>
      </c>
      <c r="J20" s="98">
        <f>(J15*J17*(1-J19))+(J18*J16)</f>
        <v>0.13166764149959845</v>
      </c>
    </row>
    <row r="21" spans="2:13" ht="15" thickBot="1" x14ac:dyDescent="0.4">
      <c r="B21" s="43">
        <v>2000.7</v>
      </c>
      <c r="D21" s="43">
        <v>9293.5</v>
      </c>
      <c r="E21" s="16">
        <f t="shared" si="0"/>
        <v>1.7986618159615331E-2</v>
      </c>
      <c r="F21" s="16">
        <f t="shared" si="1"/>
        <v>9.5485356739375415E-3</v>
      </c>
      <c r="G21" s="16"/>
      <c r="K21" s="168" t="s">
        <v>225</v>
      </c>
      <c r="L21" s="170"/>
      <c r="M21" s="169"/>
    </row>
    <row r="22" spans="2:13" x14ac:dyDescent="0.35">
      <c r="B22" s="43">
        <v>1965.35</v>
      </c>
      <c r="D22" s="43">
        <v>9205.6</v>
      </c>
      <c r="E22" s="16">
        <f t="shared" si="0"/>
        <v>-3.0294806956950859E-2</v>
      </c>
      <c r="F22" s="16">
        <f t="shared" si="1"/>
        <v>-7.0435448554077018E-3</v>
      </c>
      <c r="G22" s="16"/>
      <c r="K22" s="87" t="s">
        <v>226</v>
      </c>
      <c r="L22" s="99">
        <v>6.5000000000000002E-2</v>
      </c>
      <c r="M22" s="84">
        <v>0.4</v>
      </c>
    </row>
    <row r="23" spans="2:13" x14ac:dyDescent="0.35">
      <c r="B23" s="43">
        <v>2026.75</v>
      </c>
      <c r="D23" s="43">
        <v>9270.9</v>
      </c>
      <c r="E23" s="16">
        <f t="shared" si="0"/>
        <v>1.3223016547517785E-2</v>
      </c>
      <c r="F23" s="16">
        <f t="shared" si="1"/>
        <v>7.8105891369217861E-3</v>
      </c>
      <c r="G23" s="16"/>
      <c r="K23" s="87" t="s">
        <v>260</v>
      </c>
      <c r="L23" s="100">
        <v>7.0000000000000007E-2</v>
      </c>
      <c r="M23" s="84">
        <v>0.3</v>
      </c>
    </row>
    <row r="24" spans="2:13" x14ac:dyDescent="0.35">
      <c r="B24" s="43">
        <v>2000.3</v>
      </c>
      <c r="D24" s="43">
        <v>9199.0499999999993</v>
      </c>
      <c r="E24" s="16">
        <f t="shared" si="0"/>
        <v>1.9209212269438503E-2</v>
      </c>
      <c r="F24" s="16">
        <f t="shared" si="1"/>
        <v>-5.6693509160677946E-3</v>
      </c>
      <c r="G24" s="16"/>
      <c r="K24" s="87" t="s">
        <v>267</v>
      </c>
      <c r="L24" s="178">
        <v>4.4999999999999998E-2</v>
      </c>
      <c r="M24" s="176">
        <v>0.2</v>
      </c>
    </row>
    <row r="25" spans="2:13" ht="15" thickBot="1" x14ac:dyDescent="0.4">
      <c r="B25" s="43">
        <v>1962.6</v>
      </c>
      <c r="D25" s="43">
        <v>9251.5</v>
      </c>
      <c r="E25" s="16">
        <f t="shared" si="0"/>
        <v>-6.0349986833600711E-2</v>
      </c>
      <c r="F25" s="16">
        <f t="shared" si="1"/>
        <v>1.3312840938608517E-3</v>
      </c>
      <c r="G25" s="16"/>
      <c r="K25" s="101" t="s">
        <v>268</v>
      </c>
      <c r="L25" s="102">
        <v>7.4999999999999997E-2</v>
      </c>
      <c r="M25" s="177">
        <v>0.1</v>
      </c>
    </row>
    <row r="26" spans="2:13" ht="15" thickBot="1" x14ac:dyDescent="0.4">
      <c r="B26" s="43">
        <v>2088.65</v>
      </c>
      <c r="D26" s="43">
        <v>9239.2000000000007</v>
      </c>
      <c r="E26" s="16">
        <f t="shared" si="0"/>
        <v>-1.2131674785981206E-2</v>
      </c>
      <c r="F26" s="16">
        <f t="shared" si="1"/>
        <v>4.637608668468296E-3</v>
      </c>
      <c r="G26" s="16"/>
      <c r="K26" s="171" t="s">
        <v>227</v>
      </c>
      <c r="L26" s="170"/>
      <c r="M26" s="103">
        <f>L22*M22+L23*M23+L24*M24+L25*M25</f>
        <v>6.3500000000000001E-2</v>
      </c>
    </row>
    <row r="27" spans="2:13" x14ac:dyDescent="0.35">
      <c r="B27" s="43">
        <v>2114.3000000000002</v>
      </c>
      <c r="D27" s="43">
        <v>9196.5499999999993</v>
      </c>
      <c r="E27" s="16">
        <f t="shared" si="0"/>
        <v>-3.3507039678186024E-2</v>
      </c>
      <c r="F27" s="16">
        <f t="shared" si="1"/>
        <v>-1.9928491882070243E-2</v>
      </c>
      <c r="G27" s="16"/>
    </row>
    <row r="28" spans="2:13" x14ac:dyDescent="0.35">
      <c r="B28" s="43">
        <v>2187.6</v>
      </c>
      <c r="D28" s="43">
        <v>9383.5499999999993</v>
      </c>
      <c r="E28" s="16">
        <f t="shared" si="0"/>
        <v>-2.3981082829544698E-2</v>
      </c>
      <c r="F28" s="16">
        <f t="shared" si="1"/>
        <v>2.6337808646194949E-2</v>
      </c>
      <c r="G28" s="16"/>
    </row>
    <row r="29" spans="2:13" x14ac:dyDescent="0.35">
      <c r="B29" s="43">
        <v>2241.35</v>
      </c>
      <c r="D29" s="43">
        <v>9142.75</v>
      </c>
      <c r="E29" s="16">
        <f t="shared" si="0"/>
        <v>2.1791160447675928E-2</v>
      </c>
      <c r="F29" s="16">
        <f t="shared" si="1"/>
        <v>6.4573676923651568E-4</v>
      </c>
      <c r="G29" s="16"/>
    </row>
    <row r="30" spans="2:13" x14ac:dyDescent="0.35">
      <c r="B30" s="43">
        <v>2193.5500000000002</v>
      </c>
      <c r="D30" s="43">
        <v>9136.85</v>
      </c>
      <c r="E30" s="16">
        <f t="shared" si="0"/>
        <v>5.9404506049117289E-2</v>
      </c>
      <c r="F30" s="16">
        <f t="shared" si="1"/>
        <v>3.5542458844530112E-2</v>
      </c>
      <c r="G30" s="16"/>
    </row>
    <row r="31" spans="2:13" x14ac:dyDescent="0.35">
      <c r="B31" s="43">
        <v>2070.5500000000002</v>
      </c>
      <c r="D31" s="43">
        <v>8823.25</v>
      </c>
      <c r="E31" s="16">
        <f t="shared" si="0"/>
        <v>-1.4227152158186041E-3</v>
      </c>
      <c r="F31" s="16">
        <f t="shared" si="1"/>
        <v>-6.2900519196765758E-3</v>
      </c>
      <c r="G31" s="16"/>
    </row>
    <row r="32" spans="2:13" x14ac:dyDescent="0.35">
      <c r="B32" s="43">
        <v>2073.5</v>
      </c>
      <c r="D32" s="43">
        <v>8879.1</v>
      </c>
      <c r="E32" s="16">
        <f t="shared" si="0"/>
        <v>2.4659023522435319E-2</v>
      </c>
      <c r="F32" s="16">
        <f t="shared" si="1"/>
        <v>-2.0674898390236507E-2</v>
      </c>
      <c r="G32" s="16"/>
    </row>
    <row r="33" spans="2:7" x14ac:dyDescent="0.35">
      <c r="B33" s="43">
        <v>2023.6</v>
      </c>
      <c r="D33" s="43">
        <v>9066.5499999999993</v>
      </c>
      <c r="E33" s="16">
        <f t="shared" si="0"/>
        <v>-4.5246520405756163E-2</v>
      </c>
      <c r="F33" s="16">
        <f t="shared" si="1"/>
        <v>-4.3596431022649984E-3</v>
      </c>
      <c r="G33" s="16"/>
    </row>
    <row r="34" spans="2:7" x14ac:dyDescent="0.35">
      <c r="B34" s="43">
        <v>2119.5</v>
      </c>
      <c r="D34" s="43">
        <v>9106.25</v>
      </c>
      <c r="E34" s="16">
        <f t="shared" si="0"/>
        <v>-1.4461080628661693E-2</v>
      </c>
      <c r="F34" s="16">
        <f t="shared" si="1"/>
        <v>7.4121193683103215E-3</v>
      </c>
      <c r="G34" s="16"/>
    </row>
    <row r="35" spans="2:7" x14ac:dyDescent="0.35">
      <c r="B35" s="43">
        <v>2150.6</v>
      </c>
      <c r="D35" s="43">
        <v>9039.25</v>
      </c>
      <c r="E35" s="16">
        <f t="shared" si="0"/>
        <v>1.7481607645541963E-2</v>
      </c>
      <c r="F35" s="16">
        <f t="shared" si="1"/>
        <v>1.12968695488469E-3</v>
      </c>
      <c r="G35" s="16"/>
    </row>
    <row r="36" spans="2:7" x14ac:dyDescent="0.35">
      <c r="B36" s="43">
        <v>2113.65</v>
      </c>
      <c r="D36" s="43">
        <v>9029.0499999999993</v>
      </c>
      <c r="E36" s="16">
        <f t="shared" si="0"/>
        <v>-2.8497230712660637E-2</v>
      </c>
      <c r="F36" s="16">
        <f t="shared" si="1"/>
        <v>-3.0692596310232578E-2</v>
      </c>
      <c r="G36" s="16"/>
    </row>
    <row r="37" spans="2:7" x14ac:dyDescent="0.35">
      <c r="B37" s="43">
        <v>2175.65</v>
      </c>
      <c r="D37" s="43">
        <v>9314.9500000000007</v>
      </c>
      <c r="E37" s="16">
        <f t="shared" si="0"/>
        <v>-5.3283146947478266E-2</v>
      </c>
      <c r="F37" s="16">
        <f t="shared" si="1"/>
        <v>-1.8456075278448059E-2</v>
      </c>
      <c r="G37" s="16"/>
    </row>
    <row r="38" spans="2:7" x14ac:dyDescent="0.35">
      <c r="B38" s="43">
        <v>2298.1</v>
      </c>
      <c r="D38" s="43">
        <v>9490.1</v>
      </c>
      <c r="E38" s="16">
        <f t="shared" si="0"/>
        <v>-2.6579409958277789E-2</v>
      </c>
      <c r="F38" s="16">
        <f t="shared" si="1"/>
        <v>-9.4151540139660872E-3</v>
      </c>
      <c r="G38" s="16"/>
    </row>
    <row r="39" spans="2:7" x14ac:dyDescent="0.35">
      <c r="B39" s="43">
        <v>2360.85</v>
      </c>
      <c r="D39" s="43">
        <v>9580.2999999999993</v>
      </c>
      <c r="E39" s="16">
        <f t="shared" si="0"/>
        <v>1.485191075957526E-2</v>
      </c>
      <c r="F39" s="16">
        <f t="shared" si="1"/>
        <v>-2.5019972216992481E-2</v>
      </c>
      <c r="G39" s="16"/>
    </row>
    <row r="40" spans="2:7" x14ac:dyDescent="0.35">
      <c r="B40" s="43">
        <v>2326.3000000000002</v>
      </c>
      <c r="D40" s="43">
        <v>9826.15</v>
      </c>
      <c r="E40" s="16">
        <f t="shared" si="0"/>
        <v>3.4724468888169824E-3</v>
      </c>
      <c r="F40" s="16">
        <f t="shared" si="1"/>
        <v>-1.5327033500015075E-2</v>
      </c>
      <c r="G40" s="16"/>
    </row>
    <row r="41" spans="2:7" x14ac:dyDescent="0.35">
      <c r="B41" s="43">
        <v>2318.25</v>
      </c>
      <c r="D41" s="43">
        <v>9979.1</v>
      </c>
      <c r="E41" s="16">
        <f t="shared" si="0"/>
        <v>7.8471437266325328E-3</v>
      </c>
      <c r="F41" s="16">
        <f t="shared" si="1"/>
        <v>-8.1945624680093143E-3</v>
      </c>
      <c r="G41" s="16"/>
    </row>
    <row r="42" spans="2:7" x14ac:dyDescent="0.35">
      <c r="B42" s="43">
        <v>2300.1999999999998</v>
      </c>
      <c r="D42" s="43">
        <v>10061.549999999999</v>
      </c>
      <c r="E42" s="16">
        <f t="shared" si="0"/>
        <v>-1.2471825694966299E-2</v>
      </c>
      <c r="F42" s="16">
        <f t="shared" si="1"/>
        <v>3.2355844492526487E-3</v>
      </c>
      <c r="G42" s="16"/>
    </row>
    <row r="43" spans="2:7" x14ac:dyDescent="0.35">
      <c r="B43" s="43">
        <v>2329.25</v>
      </c>
      <c r="D43" s="43">
        <v>10029.1</v>
      </c>
      <c r="E43" s="16">
        <f t="shared" si="0"/>
        <v>-4.8704419712473079E-3</v>
      </c>
      <c r="F43" s="16">
        <f t="shared" si="1"/>
        <v>-1.1146551766637147E-2</v>
      </c>
      <c r="G43" s="16"/>
    </row>
    <row r="44" spans="2:7" x14ac:dyDescent="0.35">
      <c r="B44" s="43">
        <v>2340.65</v>
      </c>
      <c r="D44" s="43">
        <v>10142.15</v>
      </c>
      <c r="E44" s="16">
        <f t="shared" si="0"/>
        <v>-1.8307259992450642E-2</v>
      </c>
      <c r="F44" s="16">
        <f t="shared" si="1"/>
        <v>-2.4883328661563509E-3</v>
      </c>
      <c r="G44" s="16"/>
    </row>
    <row r="45" spans="2:7" x14ac:dyDescent="0.35">
      <c r="B45" s="43">
        <v>2384.3000000000002</v>
      </c>
      <c r="D45" s="43">
        <v>10167.450000000001</v>
      </c>
      <c r="E45" s="16">
        <f t="shared" si="0"/>
        <v>-1.2566497717085845E-3</v>
      </c>
      <c r="F45" s="16">
        <f t="shared" si="1"/>
        <v>1.2023908467001521E-2</v>
      </c>
      <c r="G45" s="16"/>
    </row>
    <row r="46" spans="2:7" x14ac:dyDescent="0.35">
      <c r="B46" s="43">
        <v>2387.3000000000002</v>
      </c>
      <c r="D46" s="43">
        <v>10046.65</v>
      </c>
      <c r="E46" s="16">
        <f t="shared" si="0"/>
        <v>4.1465808703239349E-2</v>
      </c>
      <c r="F46" s="16">
        <f t="shared" si="1"/>
        <v>-6.8702025968376823E-3</v>
      </c>
      <c r="G46" s="16"/>
    </row>
    <row r="47" spans="2:7" x14ac:dyDescent="0.35">
      <c r="B47" s="43">
        <v>2292.25</v>
      </c>
      <c r="D47" s="43">
        <v>10116.15</v>
      </c>
      <c r="E47" s="16">
        <f t="shared" si="0"/>
        <v>-7.6625035173920608E-3</v>
      </c>
      <c r="F47" s="16">
        <f t="shared" si="1"/>
        <v>2.1626944051706731E-2</v>
      </c>
      <c r="G47" s="16"/>
    </row>
    <row r="48" spans="2:7" x14ac:dyDescent="0.35">
      <c r="B48" s="43">
        <v>2309.9499999999998</v>
      </c>
      <c r="D48" s="43">
        <v>9902</v>
      </c>
      <c r="E48" s="16">
        <f t="shared" si="0"/>
        <v>-3.8262172908383185E-2</v>
      </c>
      <c r="F48" s="16">
        <f t="shared" si="1"/>
        <v>-7.1092661111612498E-3</v>
      </c>
      <c r="G48" s="16"/>
    </row>
    <row r="49" spans="2:7" x14ac:dyDescent="0.35">
      <c r="B49" s="43">
        <v>2401.85</v>
      </c>
      <c r="D49" s="43">
        <v>9972.9</v>
      </c>
      <c r="E49" s="16">
        <f t="shared" si="0"/>
        <v>2.2869067137959664E-2</v>
      </c>
      <c r="F49" s="16">
        <f t="shared" si="1"/>
        <v>1.6222219957813921E-2</v>
      </c>
      <c r="G49" s="16"/>
    </row>
    <row r="50" spans="2:7" x14ac:dyDescent="0.35">
      <c r="B50" s="43">
        <v>2348.15</v>
      </c>
      <c r="D50" s="43">
        <v>9813.7000000000007</v>
      </c>
      <c r="E50" s="16">
        <f t="shared" si="0"/>
        <v>-1.9950332853356567E-2</v>
      </c>
      <c r="F50" s="16">
        <f t="shared" si="1"/>
        <v>-1.0117006253782423E-2</v>
      </c>
      <c r="G50" s="16"/>
    </row>
    <row r="51" spans="2:7" x14ac:dyDescent="0.35">
      <c r="B51" s="43">
        <v>2395.9499999999998</v>
      </c>
      <c r="D51" s="43">
        <v>9914</v>
      </c>
      <c r="E51" s="16">
        <f t="shared" si="0"/>
        <v>1.3815427580078588E-2</v>
      </c>
      <c r="F51" s="16">
        <f t="shared" si="1"/>
        <v>3.3245118230165183E-3</v>
      </c>
      <c r="G51" s="16"/>
    </row>
    <row r="52" spans="2:7" x14ac:dyDescent="0.35">
      <c r="B52" s="43">
        <v>2363.3000000000002</v>
      </c>
      <c r="D52" s="43">
        <v>9881.15</v>
      </c>
      <c r="E52" s="16">
        <f t="shared" si="0"/>
        <v>-6.9768916890400323E-4</v>
      </c>
      <c r="F52" s="16">
        <f t="shared" si="1"/>
        <v>-2.0858828833738796E-2</v>
      </c>
      <c r="G52" s="16"/>
    </row>
    <row r="53" spans="2:7" x14ac:dyDescent="0.35">
      <c r="B53" s="43">
        <v>2364.9499999999998</v>
      </c>
      <c r="D53" s="43">
        <v>10091.65</v>
      </c>
      <c r="E53" s="16">
        <f t="shared" si="0"/>
        <v>3.8627247065814441E-3</v>
      </c>
      <c r="F53" s="16">
        <f t="shared" si="1"/>
        <v>-1.4910585295380918E-2</v>
      </c>
      <c r="G53" s="16"/>
    </row>
    <row r="54" spans="2:7" x14ac:dyDescent="0.35">
      <c r="B54" s="43">
        <v>2355.85</v>
      </c>
      <c r="D54" s="43">
        <v>10244.4</v>
      </c>
      <c r="E54" s="16">
        <f t="shared" si="0"/>
        <v>-2.352234104285833E-2</v>
      </c>
      <c r="F54" s="16">
        <f t="shared" si="1"/>
        <v>-6.4783924276515803E-3</v>
      </c>
      <c r="G54" s="16"/>
    </row>
    <row r="55" spans="2:7" x14ac:dyDescent="0.35">
      <c r="B55" s="43">
        <v>2412.6</v>
      </c>
      <c r="D55" s="43">
        <v>10311.200000000001</v>
      </c>
      <c r="E55" s="16">
        <f t="shared" si="0"/>
        <v>-2.5838725013952457E-3</v>
      </c>
      <c r="F55" s="16">
        <f t="shared" si="1"/>
        <v>-1.5261197593352982E-2</v>
      </c>
      <c r="G55" s="16"/>
    </row>
    <row r="56" spans="2:7" x14ac:dyDescent="0.35">
      <c r="B56" s="43">
        <v>2418.85</v>
      </c>
      <c r="D56" s="43">
        <v>10471</v>
      </c>
      <c r="E56" s="16">
        <f t="shared" si="0"/>
        <v>-3.0054535247413638E-2</v>
      </c>
      <c r="F56" s="16">
        <f t="shared" si="1"/>
        <v>1.6079104926591148E-2</v>
      </c>
      <c r="G56" s="16"/>
    </row>
    <row r="57" spans="2:7" x14ac:dyDescent="0.35">
      <c r="B57" s="43">
        <v>2493.8000000000002</v>
      </c>
      <c r="D57" s="43">
        <v>10305.299999999999</v>
      </c>
      <c r="E57" s="16">
        <f t="shared" si="0"/>
        <v>-2.5745204516154141E-2</v>
      </c>
      <c r="F57" s="16">
        <f t="shared" si="1"/>
        <v>1.5939507624720406E-3</v>
      </c>
      <c r="G57" s="16"/>
    </row>
    <row r="58" spans="2:7" x14ac:dyDescent="0.35">
      <c r="B58" s="43">
        <v>2559.6999999999998</v>
      </c>
      <c r="D58" s="43">
        <v>10288.9</v>
      </c>
      <c r="E58" s="16">
        <f t="shared" si="0"/>
        <v>7.5773977051309949E-3</v>
      </c>
      <c r="F58" s="16">
        <f t="shared" si="1"/>
        <v>-9.0628912645671633E-3</v>
      </c>
      <c r="G58" s="16"/>
    </row>
    <row r="59" spans="2:7" x14ac:dyDescent="0.35">
      <c r="B59" s="43">
        <v>2540.4499999999998</v>
      </c>
      <c r="D59" s="43">
        <v>10383</v>
      </c>
      <c r="E59" s="16">
        <f t="shared" si="0"/>
        <v>1.4536450949461655E-2</v>
      </c>
      <c r="F59" s="16">
        <f t="shared" si="1"/>
        <v>6.8461269927466706E-3</v>
      </c>
      <c r="G59" s="16"/>
    </row>
    <row r="60" spans="2:7" x14ac:dyDescent="0.35">
      <c r="B60" s="43">
        <v>2504.0500000000002</v>
      </c>
      <c r="D60" s="43">
        <v>10312.4</v>
      </c>
      <c r="E60" s="16">
        <f t="shared" si="0"/>
        <v>-1.6843675769056987E-2</v>
      </c>
      <c r="F60" s="16">
        <f t="shared" si="1"/>
        <v>9.9979615806478073E-4</v>
      </c>
      <c r="G60" s="16"/>
    </row>
    <row r="61" spans="2:7" x14ac:dyDescent="0.35">
      <c r="B61" s="43">
        <v>2546.9499999999998</v>
      </c>
      <c r="D61" s="43">
        <v>10302.1</v>
      </c>
      <c r="E61" s="16">
        <f t="shared" si="0"/>
        <v>-1.9627470607863629E-4</v>
      </c>
      <c r="F61" s="16">
        <f t="shared" si="1"/>
        <v>-1.2267438794636543E-2</v>
      </c>
      <c r="G61" s="16"/>
    </row>
    <row r="62" spans="2:7" x14ac:dyDescent="0.35">
      <c r="B62" s="43">
        <v>2547.4499999999998</v>
      </c>
      <c r="D62" s="43">
        <v>10430.049999999999</v>
      </c>
      <c r="E62" s="16">
        <f t="shared" si="0"/>
        <v>-4.6398891966759059E-2</v>
      </c>
      <c r="F62" s="16">
        <f t="shared" si="1"/>
        <v>-1.1528947942037959E-2</v>
      </c>
      <c r="G62" s="16"/>
    </row>
    <row r="63" spans="2:7" x14ac:dyDescent="0.35">
      <c r="B63" s="43">
        <v>2671.4</v>
      </c>
      <c r="D63" s="43">
        <v>10551.7</v>
      </c>
      <c r="E63" s="16">
        <f t="shared" si="0"/>
        <v>-2.4413402720715793E-2</v>
      </c>
      <c r="F63" s="16">
        <f t="shared" si="1"/>
        <v>-5.2463621922534953E-3</v>
      </c>
      <c r="G63" s="16"/>
    </row>
    <row r="64" spans="2:7" x14ac:dyDescent="0.35">
      <c r="B64" s="43">
        <v>2738.25</v>
      </c>
      <c r="D64" s="43">
        <v>10607.35</v>
      </c>
      <c r="E64" s="16">
        <f t="shared" si="0"/>
        <v>-1.180100687489849E-2</v>
      </c>
      <c r="F64" s="16">
        <f t="shared" si="1"/>
        <v>-1.452109646820543E-2</v>
      </c>
      <c r="G64" s="16"/>
    </row>
    <row r="65" spans="2:7" x14ac:dyDescent="0.35">
      <c r="B65" s="43">
        <v>2770.95</v>
      </c>
      <c r="D65" s="43">
        <v>10763.65</v>
      </c>
      <c r="E65" s="16">
        <f t="shared" si="0"/>
        <v>7.8747317498999436E-3</v>
      </c>
      <c r="F65" s="16">
        <f t="shared" si="1"/>
        <v>-3.3334413615255798E-3</v>
      </c>
      <c r="G65" s="16"/>
    </row>
    <row r="66" spans="2:7" x14ac:dyDescent="0.35">
      <c r="B66" s="43">
        <v>2749.3</v>
      </c>
      <c r="D66" s="43">
        <v>10799.65</v>
      </c>
      <c r="E66" s="16">
        <f t="shared" si="0"/>
        <v>1.1069432185937256E-2</v>
      </c>
      <c r="F66" s="16">
        <f t="shared" si="1"/>
        <v>8.7709875534174309E-3</v>
      </c>
      <c r="G66" s="16"/>
    </row>
    <row r="67" spans="2:7" x14ac:dyDescent="0.35">
      <c r="B67" s="43">
        <v>2719.2</v>
      </c>
      <c r="D67" s="43">
        <v>10705.75</v>
      </c>
      <c r="E67" s="16">
        <f t="shared" si="0"/>
        <v>1.0310427464749417E-2</v>
      </c>
      <c r="F67" s="16">
        <f t="shared" si="1"/>
        <v>-9.9598185592942867E-3</v>
      </c>
      <c r="G67" s="16"/>
    </row>
    <row r="68" spans="2:7" x14ac:dyDescent="0.35">
      <c r="B68" s="43">
        <v>2691.45</v>
      </c>
      <c r="D68" s="43">
        <v>10813.45</v>
      </c>
      <c r="E68" s="16">
        <f t="shared" ref="E68:E131" si="2">B68/B69-1</f>
        <v>3.8041958041956647E-3</v>
      </c>
      <c r="F68" s="16">
        <f t="shared" ref="F68:F131" si="3">D68/D69-1</f>
        <v>4.2161765593586864E-3</v>
      </c>
      <c r="G68" s="16"/>
    </row>
    <row r="69" spans="2:7" x14ac:dyDescent="0.35">
      <c r="B69" s="43">
        <v>2681.25</v>
      </c>
      <c r="D69" s="43">
        <v>10768.05</v>
      </c>
      <c r="E69" s="16">
        <f t="shared" si="2"/>
        <v>-3.1416143064281199E-3</v>
      </c>
      <c r="F69" s="16">
        <f t="shared" si="3"/>
        <v>-3.207531450470813E-3</v>
      </c>
      <c r="G69" s="16"/>
    </row>
    <row r="70" spans="2:7" x14ac:dyDescent="0.35">
      <c r="B70" s="43">
        <v>2689.7</v>
      </c>
      <c r="D70" s="43">
        <v>10802.7</v>
      </c>
      <c r="E70" s="16">
        <f t="shared" si="2"/>
        <v>2.9806459023297593E-2</v>
      </c>
      <c r="F70" s="16">
        <f t="shared" si="3"/>
        <v>1.8416475368494556E-2</v>
      </c>
      <c r="G70" s="16"/>
    </row>
    <row r="71" spans="2:7" x14ac:dyDescent="0.35">
      <c r="B71" s="43">
        <v>2611.85</v>
      </c>
      <c r="D71" s="43">
        <v>10607.35</v>
      </c>
      <c r="E71" s="16">
        <f t="shared" si="2"/>
        <v>-1.3670436736466507E-2</v>
      </c>
      <c r="F71" s="16">
        <f t="shared" si="3"/>
        <v>-1.0218304420711588E-3</v>
      </c>
      <c r="G71" s="16"/>
    </row>
    <row r="72" spans="2:7" x14ac:dyDescent="0.35">
      <c r="B72" s="43">
        <v>2648.05</v>
      </c>
      <c r="D72" s="43">
        <v>10618.2</v>
      </c>
      <c r="E72" s="16">
        <f t="shared" si="2"/>
        <v>-2.4587446589067308E-2</v>
      </c>
      <c r="F72" s="16">
        <f t="shared" si="3"/>
        <v>-1.1336179404932034E-2</v>
      </c>
      <c r="G72" s="16"/>
    </row>
    <row r="73" spans="2:7" x14ac:dyDescent="0.35">
      <c r="B73" s="43">
        <v>2714.8</v>
      </c>
      <c r="D73" s="43">
        <v>10739.95</v>
      </c>
      <c r="E73" s="16">
        <f t="shared" si="2"/>
        <v>-1.7818056836887863E-2</v>
      </c>
      <c r="F73" s="16">
        <f t="shared" si="3"/>
        <v>-1.483713549262955E-2</v>
      </c>
      <c r="G73" s="16"/>
    </row>
    <row r="74" spans="2:7" x14ac:dyDescent="0.35">
      <c r="B74" s="43">
        <v>2764.05</v>
      </c>
      <c r="D74" s="43">
        <v>10901.7</v>
      </c>
      <c r="E74" s="16">
        <f t="shared" si="2"/>
        <v>-3.3599636382707132E-2</v>
      </c>
      <c r="F74" s="16">
        <f t="shared" si="3"/>
        <v>-1.0932481718713194E-2</v>
      </c>
      <c r="G74" s="16"/>
    </row>
    <row r="75" spans="2:7" x14ac:dyDescent="0.35">
      <c r="B75" s="43">
        <v>2860.15</v>
      </c>
      <c r="D75" s="43">
        <v>11022.2</v>
      </c>
      <c r="E75" s="16">
        <f t="shared" si="2"/>
        <v>-3.1368175243539076E-3</v>
      </c>
      <c r="F75" s="16">
        <f t="shared" si="3"/>
        <v>-1.2546753566709201E-2</v>
      </c>
      <c r="G75" s="16"/>
    </row>
    <row r="76" spans="2:7" x14ac:dyDescent="0.35">
      <c r="B76" s="43">
        <v>2869.15</v>
      </c>
      <c r="D76" s="43">
        <v>11162.25</v>
      </c>
      <c r="E76" s="16">
        <f t="shared" si="2"/>
        <v>3.654263005780356E-2</v>
      </c>
      <c r="F76" s="16">
        <f t="shared" si="3"/>
        <v>2.6633490828738005E-3</v>
      </c>
      <c r="G76" s="16"/>
    </row>
    <row r="77" spans="2:7" x14ac:dyDescent="0.35">
      <c r="B77" s="43">
        <v>2768</v>
      </c>
      <c r="D77" s="43">
        <v>11132.6</v>
      </c>
      <c r="E77" s="16">
        <f t="shared" si="2"/>
        <v>-1.1547344110853786E-3</v>
      </c>
      <c r="F77" s="16">
        <f t="shared" si="3"/>
        <v>-7.3871311449830168E-3</v>
      </c>
      <c r="G77" s="16"/>
    </row>
    <row r="78" spans="2:7" x14ac:dyDescent="0.35">
      <c r="B78" s="43">
        <v>2771.2</v>
      </c>
      <c r="D78" s="43">
        <v>11215.45</v>
      </c>
      <c r="E78" s="16">
        <f t="shared" si="2"/>
        <v>1.1128543802678248E-2</v>
      </c>
      <c r="F78" s="16">
        <f t="shared" si="3"/>
        <v>1.9027795768327138E-3</v>
      </c>
      <c r="G78" s="16"/>
    </row>
    <row r="79" spans="2:7" x14ac:dyDescent="0.35">
      <c r="B79" s="43">
        <v>2740.7</v>
      </c>
      <c r="D79" s="43">
        <v>11194.15</v>
      </c>
      <c r="E79" s="16">
        <f t="shared" si="2"/>
        <v>-1.0570053943723678E-3</v>
      </c>
      <c r="F79" s="16">
        <f t="shared" si="3"/>
        <v>5.6010708061589032E-3</v>
      </c>
      <c r="G79" s="16"/>
    </row>
    <row r="80" spans="2:7" x14ac:dyDescent="0.35">
      <c r="B80" s="43">
        <v>2743.6</v>
      </c>
      <c r="D80" s="43">
        <v>11131.8</v>
      </c>
      <c r="E80" s="16">
        <f t="shared" si="2"/>
        <v>-3.4368675758909006E-2</v>
      </c>
      <c r="F80" s="16">
        <f t="shared" si="3"/>
        <v>-1.4932901495944839E-2</v>
      </c>
      <c r="G80" s="16"/>
    </row>
    <row r="81" spans="2:7" x14ac:dyDescent="0.35">
      <c r="B81" s="43">
        <v>2841.25</v>
      </c>
      <c r="D81" s="43">
        <v>11300.55</v>
      </c>
      <c r="E81" s="16">
        <f t="shared" si="2"/>
        <v>2.2032374100719343E-2</v>
      </c>
      <c r="F81" s="16">
        <f t="shared" si="3"/>
        <v>8.7209951039244338E-3</v>
      </c>
      <c r="G81" s="16"/>
    </row>
    <row r="82" spans="2:7" x14ac:dyDescent="0.35">
      <c r="B82" s="43">
        <v>2780</v>
      </c>
      <c r="D82" s="43">
        <v>11202.85</v>
      </c>
      <c r="E82" s="16">
        <f t="shared" si="2"/>
        <v>2.8125520072486587E-2</v>
      </c>
      <c r="F82" s="16">
        <f t="shared" si="3"/>
        <v>9.0703152092161954E-3</v>
      </c>
      <c r="G82" s="16"/>
    </row>
    <row r="83" spans="2:7" x14ac:dyDescent="0.35">
      <c r="B83" s="43">
        <v>2703.95</v>
      </c>
      <c r="D83" s="43">
        <v>11102.15</v>
      </c>
      <c r="E83" s="16">
        <f t="shared" si="2"/>
        <v>1.0255931253502659E-2</v>
      </c>
      <c r="F83" s="16">
        <f t="shared" si="3"/>
        <v>2.5917848547651889E-3</v>
      </c>
      <c r="G83" s="16"/>
    </row>
    <row r="84" spans="2:7" x14ac:dyDescent="0.35">
      <c r="B84" s="43">
        <v>2676.5</v>
      </c>
      <c r="D84" s="43">
        <v>11073.45</v>
      </c>
      <c r="E84" s="16">
        <f t="shared" si="2"/>
        <v>1.7177820849009873E-2</v>
      </c>
      <c r="F84" s="16">
        <f t="shared" si="3"/>
        <v>1.6696353152888532E-2</v>
      </c>
      <c r="G84" s="16"/>
    </row>
    <row r="85" spans="2:7" x14ac:dyDescent="0.35">
      <c r="B85" s="43">
        <v>2631.3</v>
      </c>
      <c r="D85" s="43">
        <v>10891.6</v>
      </c>
      <c r="E85" s="16">
        <f t="shared" si="2"/>
        <v>-2.7641254942537108E-2</v>
      </c>
      <c r="F85" s="16">
        <f t="shared" si="3"/>
        <v>-1.8354701336157353E-2</v>
      </c>
      <c r="G85" s="16"/>
    </row>
    <row r="86" spans="2:7" x14ac:dyDescent="0.35">
      <c r="B86" s="43">
        <v>2706.1</v>
      </c>
      <c r="D86" s="43">
        <v>11095.25</v>
      </c>
      <c r="E86" s="16">
        <f t="shared" si="2"/>
        <v>3.8393767968096792E-3</v>
      </c>
      <c r="F86" s="16">
        <f t="shared" si="3"/>
        <v>-5.7649088198596932E-4</v>
      </c>
      <c r="G86" s="16"/>
    </row>
    <row r="87" spans="2:7" x14ac:dyDescent="0.35">
      <c r="B87" s="43">
        <v>2695.75</v>
      </c>
      <c r="D87" s="43">
        <v>11101.65</v>
      </c>
      <c r="E87" s="16">
        <f t="shared" si="2"/>
        <v>-3.2169202610511372E-3</v>
      </c>
      <c r="F87" s="16">
        <f t="shared" si="3"/>
        <v>-8.7945250733248992E-3</v>
      </c>
      <c r="G87" s="16"/>
    </row>
    <row r="88" spans="2:7" x14ac:dyDescent="0.35">
      <c r="B88" s="43">
        <v>2704.45</v>
      </c>
      <c r="D88" s="43">
        <v>11200.15</v>
      </c>
      <c r="E88" s="16">
        <f t="shared" si="2"/>
        <v>-6.4666321779616176E-4</v>
      </c>
      <c r="F88" s="16">
        <f t="shared" si="3"/>
        <v>-1.2395164993913577E-3</v>
      </c>
      <c r="G88" s="16"/>
    </row>
    <row r="89" spans="2:7" x14ac:dyDescent="0.35">
      <c r="B89" s="43">
        <v>2706.2</v>
      </c>
      <c r="D89" s="43">
        <v>11214.05</v>
      </c>
      <c r="E89" s="16">
        <f t="shared" si="2"/>
        <v>1.4988065059302613E-3</v>
      </c>
      <c r="F89" s="16">
        <f t="shared" si="3"/>
        <v>-4.977750961611016E-3</v>
      </c>
      <c r="G89" s="16"/>
    </row>
    <row r="90" spans="2:7" x14ac:dyDescent="0.35">
      <c r="B90" s="43">
        <v>2702.15</v>
      </c>
      <c r="D90" s="43">
        <v>11270.15</v>
      </c>
      <c r="E90" s="16">
        <f t="shared" si="2"/>
        <v>-3.9441915328897181E-3</v>
      </c>
      <c r="F90" s="16">
        <f t="shared" si="3"/>
        <v>-4.6235372046810053E-3</v>
      </c>
      <c r="G90" s="16"/>
    </row>
    <row r="91" spans="2:7" x14ac:dyDescent="0.35">
      <c r="B91" s="43">
        <v>2712.85</v>
      </c>
      <c r="D91" s="43">
        <v>11322.5</v>
      </c>
      <c r="E91" s="16">
        <f t="shared" si="2"/>
        <v>-2.2043979812545134E-2</v>
      </c>
      <c r="F91" s="16">
        <f t="shared" si="3"/>
        <v>1.2468607406883603E-3</v>
      </c>
      <c r="G91" s="16"/>
    </row>
    <row r="92" spans="2:7" x14ac:dyDescent="0.35">
      <c r="B92" s="43">
        <v>2774</v>
      </c>
      <c r="D92" s="43">
        <v>11308.4</v>
      </c>
      <c r="E92" s="16">
        <f t="shared" si="2"/>
        <v>-1.2688413147545097E-2</v>
      </c>
      <c r="F92" s="16">
        <f t="shared" si="3"/>
        <v>7.0351180705174876E-4</v>
      </c>
      <c r="G92" s="16"/>
    </row>
    <row r="93" spans="2:7" x14ac:dyDescent="0.35">
      <c r="B93" s="43">
        <v>2809.65</v>
      </c>
      <c r="D93" s="43">
        <v>11300.45</v>
      </c>
      <c r="E93" s="16">
        <f t="shared" si="2"/>
        <v>2.0864540980098933E-3</v>
      </c>
      <c r="F93" s="16">
        <f t="shared" si="3"/>
        <v>1.0918378301009168E-2</v>
      </c>
      <c r="G93" s="16"/>
    </row>
    <row r="94" spans="2:7" x14ac:dyDescent="0.35">
      <c r="B94" s="43">
        <v>2803.8</v>
      </c>
      <c r="D94" s="43">
        <v>11178.4</v>
      </c>
      <c r="E94" s="16">
        <f t="shared" si="2"/>
        <v>-4.2156326865263605E-2</v>
      </c>
      <c r="F94" s="16">
        <f t="shared" si="3"/>
        <v>-6.1082412355185634E-3</v>
      </c>
      <c r="G94" s="16"/>
    </row>
    <row r="95" spans="2:7" x14ac:dyDescent="0.35">
      <c r="B95" s="43">
        <v>2927.2</v>
      </c>
      <c r="D95" s="43">
        <v>11247.1</v>
      </c>
      <c r="E95" s="16">
        <f t="shared" si="2"/>
        <v>1.0430381478376827E-3</v>
      </c>
      <c r="F95" s="16">
        <f t="shared" si="3"/>
        <v>-1.2142797542455841E-2</v>
      </c>
      <c r="G95" s="16"/>
    </row>
    <row r="96" spans="2:7" x14ac:dyDescent="0.35">
      <c r="B96" s="43">
        <v>2924.15</v>
      </c>
      <c r="D96" s="43">
        <v>11385.35</v>
      </c>
      <c r="E96" s="16">
        <f t="shared" si="2"/>
        <v>-3.0343840030002678E-3</v>
      </c>
      <c r="F96" s="16">
        <f t="shared" si="3"/>
        <v>-2.0204410785035209E-3</v>
      </c>
      <c r="G96" s="16"/>
    </row>
    <row r="97" spans="2:7" x14ac:dyDescent="0.35">
      <c r="B97" s="43">
        <v>2933.05</v>
      </c>
      <c r="D97" s="43">
        <v>11408.4</v>
      </c>
      <c r="E97" s="16">
        <f t="shared" si="2"/>
        <v>-7.7806532365826131E-3</v>
      </c>
      <c r="F97" s="16">
        <f t="shared" si="3"/>
        <v>8.5040929262212295E-3</v>
      </c>
      <c r="G97" s="16"/>
    </row>
    <row r="98" spans="2:7" x14ac:dyDescent="0.35">
      <c r="B98" s="43">
        <v>2956.05</v>
      </c>
      <c r="D98" s="43">
        <v>11312.2</v>
      </c>
      <c r="E98" s="16">
        <f t="shared" si="2"/>
        <v>-2.5515502151016056E-2</v>
      </c>
      <c r="F98" s="16">
        <f t="shared" si="3"/>
        <v>-5.2235393436279587E-3</v>
      </c>
      <c r="G98" s="16"/>
    </row>
    <row r="99" spans="2:7" x14ac:dyDescent="0.35">
      <c r="B99" s="43">
        <v>3033.45</v>
      </c>
      <c r="D99" s="43">
        <v>11371.6</v>
      </c>
      <c r="E99" s="16">
        <f t="shared" si="2"/>
        <v>6.102718031209875E-3</v>
      </c>
      <c r="F99" s="16">
        <f t="shared" si="3"/>
        <v>-8.2719586271252643E-3</v>
      </c>
      <c r="G99" s="16"/>
    </row>
    <row r="100" spans="2:7" x14ac:dyDescent="0.35">
      <c r="B100" s="43">
        <v>3015.05</v>
      </c>
      <c r="D100" s="43">
        <v>11466.45</v>
      </c>
      <c r="E100" s="16">
        <f t="shared" si="2"/>
        <v>1.525380924320241E-2</v>
      </c>
      <c r="F100" s="16">
        <f t="shared" si="3"/>
        <v>-5.0556778312882411E-4</v>
      </c>
      <c r="G100" s="16"/>
    </row>
    <row r="101" spans="2:7" x14ac:dyDescent="0.35">
      <c r="B101" s="43">
        <v>2969.75</v>
      </c>
      <c r="D101" s="43">
        <v>11472.25</v>
      </c>
      <c r="E101" s="16">
        <f t="shared" si="2"/>
        <v>-6.042869572095233E-2</v>
      </c>
      <c r="F101" s="16">
        <f t="shared" si="3"/>
        <v>-6.6972016346886765E-3</v>
      </c>
      <c r="G101" s="16"/>
    </row>
    <row r="102" spans="2:7" x14ac:dyDescent="0.35">
      <c r="B102" s="43">
        <v>3160.75</v>
      </c>
      <c r="D102" s="43">
        <v>11549.6</v>
      </c>
      <c r="E102" s="16">
        <f t="shared" si="2"/>
        <v>6.0475849446963714E-3</v>
      </c>
      <c r="F102" s="16">
        <f t="shared" si="3"/>
        <v>-8.3482924930244895E-4</v>
      </c>
      <c r="G102" s="16"/>
    </row>
    <row r="103" spans="2:7" x14ac:dyDescent="0.35">
      <c r="B103" s="43">
        <v>3141.75</v>
      </c>
      <c r="D103" s="43">
        <v>11559.25</v>
      </c>
      <c r="E103" s="16">
        <f t="shared" si="2"/>
        <v>2.6950609616578802E-2</v>
      </c>
      <c r="F103" s="16">
        <f t="shared" si="3"/>
        <v>-7.5852536144785931E-3</v>
      </c>
      <c r="G103" s="16"/>
    </row>
    <row r="104" spans="2:7" x14ac:dyDescent="0.35">
      <c r="B104" s="43">
        <v>3059.3</v>
      </c>
      <c r="D104" s="43">
        <v>11647.6</v>
      </c>
      <c r="E104" s="16">
        <f t="shared" si="2"/>
        <v>1.7714276209643831E-2</v>
      </c>
      <c r="F104" s="16">
        <f t="shared" si="3"/>
        <v>2.2840834248079034E-2</v>
      </c>
      <c r="G104" s="16"/>
    </row>
    <row r="105" spans="2:7" x14ac:dyDescent="0.35">
      <c r="B105" s="43">
        <v>3006.05</v>
      </c>
      <c r="D105" s="43">
        <v>11387.5</v>
      </c>
      <c r="E105" s="16">
        <f t="shared" si="2"/>
        <v>3.4884497262652747E-3</v>
      </c>
      <c r="F105" s="16">
        <f t="shared" si="3"/>
        <v>-7.2143152939124766E-3</v>
      </c>
      <c r="G105" s="16"/>
    </row>
    <row r="106" spans="2:7" x14ac:dyDescent="0.35">
      <c r="B106" s="43">
        <v>2995.6</v>
      </c>
      <c r="D106" s="43">
        <v>11470.25</v>
      </c>
      <c r="E106" s="16">
        <f t="shared" si="2"/>
        <v>1.768273003686005E-2</v>
      </c>
      <c r="F106" s="16">
        <f t="shared" si="3"/>
        <v>-5.6133506718681891E-3</v>
      </c>
      <c r="G106" s="16"/>
    </row>
    <row r="107" spans="2:7" x14ac:dyDescent="0.35">
      <c r="B107" s="43">
        <v>2943.55</v>
      </c>
      <c r="D107" s="43">
        <v>11535</v>
      </c>
      <c r="E107" s="16">
        <f t="shared" si="2"/>
        <v>7.3094444822197069E-4</v>
      </c>
      <c r="F107" s="16">
        <f t="shared" si="3"/>
        <v>6.5495838194906675E-4</v>
      </c>
      <c r="G107" s="16"/>
    </row>
    <row r="108" spans="2:7" x14ac:dyDescent="0.35">
      <c r="B108" s="43">
        <v>2941.4</v>
      </c>
      <c r="D108" s="43">
        <v>11527.45</v>
      </c>
      <c r="E108" s="16">
        <f t="shared" si="2"/>
        <v>8.9873765093304581E-3</v>
      </c>
      <c r="F108" s="16">
        <f t="shared" si="3"/>
        <v>1.708157422235157E-2</v>
      </c>
      <c r="G108" s="16"/>
    </row>
    <row r="109" spans="2:7" x14ac:dyDescent="0.35">
      <c r="B109" s="43">
        <v>2915.2</v>
      </c>
      <c r="D109" s="43">
        <v>11333.85</v>
      </c>
      <c r="E109" s="16">
        <f t="shared" si="2"/>
        <v>1.9247242277502741E-2</v>
      </c>
      <c r="F109" s="16">
        <f t="shared" si="3"/>
        <v>-1.8670107132948699E-3</v>
      </c>
      <c r="G109" s="16"/>
    </row>
    <row r="110" spans="2:7" x14ac:dyDescent="0.35">
      <c r="B110" s="43">
        <v>2860.15</v>
      </c>
      <c r="D110" s="43">
        <v>11355.05</v>
      </c>
      <c r="E110" s="16">
        <f t="shared" si="2"/>
        <v>-1.0652416876221205E-3</v>
      </c>
      <c r="F110" s="16">
        <f t="shared" si="3"/>
        <v>3.3311685155976711E-3</v>
      </c>
      <c r="G110" s="16"/>
    </row>
    <row r="111" spans="2:7" x14ac:dyDescent="0.35">
      <c r="B111" s="43">
        <v>2863.2</v>
      </c>
      <c r="D111" s="43">
        <v>11317.35</v>
      </c>
      <c r="E111" s="16">
        <f t="shared" si="2"/>
        <v>-1.4049586776859524E-2</v>
      </c>
      <c r="F111" s="16">
        <f t="shared" si="3"/>
        <v>3.4890938109595204E-3</v>
      </c>
      <c r="G111" s="16"/>
    </row>
    <row r="112" spans="2:7" x14ac:dyDescent="0.35">
      <c r="B112" s="43">
        <v>2904</v>
      </c>
      <c r="D112" s="43">
        <v>11278</v>
      </c>
      <c r="E112" s="16">
        <f t="shared" si="2"/>
        <v>-1.517592200084783E-2</v>
      </c>
      <c r="F112" s="16">
        <f t="shared" si="3"/>
        <v>-1.4957311614297919E-2</v>
      </c>
      <c r="G112" s="16"/>
    </row>
    <row r="113" spans="2:7" x14ac:dyDescent="0.35">
      <c r="B113" s="43">
        <v>2948.75</v>
      </c>
      <c r="D113" s="43">
        <v>11449.25</v>
      </c>
      <c r="E113" s="16">
        <f t="shared" si="2"/>
        <v>-1.4537555351324283E-2</v>
      </c>
      <c r="F113" s="16">
        <f t="shared" si="3"/>
        <v>-1.325837698275989E-3</v>
      </c>
      <c r="G113" s="16"/>
    </row>
    <row r="114" spans="2:7" x14ac:dyDescent="0.35">
      <c r="B114" s="43">
        <v>2992.25</v>
      </c>
      <c r="D114" s="43">
        <v>11464.45</v>
      </c>
      <c r="E114" s="16">
        <f t="shared" si="2"/>
        <v>-1.1969621925045359E-2</v>
      </c>
      <c r="F114" s="16">
        <f t="shared" si="3"/>
        <v>2.1328578109363061E-3</v>
      </c>
      <c r="G114" s="16"/>
    </row>
    <row r="115" spans="2:7" x14ac:dyDescent="0.35">
      <c r="B115" s="43">
        <v>3028.5</v>
      </c>
      <c r="D115" s="43">
        <v>11440.05</v>
      </c>
      <c r="E115" s="16">
        <f t="shared" si="2"/>
        <v>-2.848064797589922E-3</v>
      </c>
      <c r="F115" s="16">
        <f t="shared" si="3"/>
        <v>-7.095245534551875E-3</v>
      </c>
      <c r="G115" s="16"/>
    </row>
    <row r="116" spans="2:7" x14ac:dyDescent="0.35">
      <c r="B116" s="43">
        <v>3037.15</v>
      </c>
      <c r="D116" s="43">
        <v>11521.8</v>
      </c>
      <c r="E116" s="16">
        <f t="shared" si="2"/>
        <v>-6.2332308095018885E-3</v>
      </c>
      <c r="F116" s="16">
        <f t="shared" si="3"/>
        <v>-7.1308236855371909E-3</v>
      </c>
      <c r="G116" s="16"/>
    </row>
    <row r="117" spans="2:7" x14ac:dyDescent="0.35">
      <c r="B117" s="43">
        <v>3056.2</v>
      </c>
      <c r="D117" s="43">
        <v>11604.55</v>
      </c>
      <c r="E117" s="16">
        <f t="shared" si="2"/>
        <v>-1.5681149950996787E-3</v>
      </c>
      <c r="F117" s="16">
        <f t="shared" si="3"/>
        <v>7.6805515756201981E-3</v>
      </c>
      <c r="G117" s="16"/>
    </row>
    <row r="118" spans="2:7" x14ac:dyDescent="0.35">
      <c r="B118" s="43">
        <v>3061</v>
      </c>
      <c r="D118" s="43">
        <v>11516.1</v>
      </c>
      <c r="E118" s="16">
        <f t="shared" si="2"/>
        <v>-1.6593577819542848E-2</v>
      </c>
      <c r="F118" s="16">
        <f t="shared" si="3"/>
        <v>9.6914806235570694E-4</v>
      </c>
      <c r="G118" s="16"/>
    </row>
    <row r="119" spans="2:7" x14ac:dyDescent="0.35">
      <c r="B119" s="43">
        <v>3112.65</v>
      </c>
      <c r="D119" s="43">
        <v>11504.95</v>
      </c>
      <c r="E119" s="16">
        <f t="shared" si="2"/>
        <v>1.8753988904708141E-2</v>
      </c>
      <c r="F119" s="16">
        <f t="shared" si="3"/>
        <v>2.2612227846638744E-2</v>
      </c>
      <c r="G119" s="16"/>
    </row>
    <row r="120" spans="2:7" x14ac:dyDescent="0.35">
      <c r="B120" s="43">
        <v>3055.35</v>
      </c>
      <c r="D120" s="43">
        <v>11250.55</v>
      </c>
      <c r="E120" s="16">
        <f t="shared" si="2"/>
        <v>1.8399080045997662E-2</v>
      </c>
      <c r="F120" s="16">
        <f t="shared" si="3"/>
        <v>8.6877389912718428E-3</v>
      </c>
      <c r="G120" s="16"/>
    </row>
    <row r="121" spans="2:7" x14ac:dyDescent="0.35">
      <c r="B121" s="43">
        <v>3000.15</v>
      </c>
      <c r="D121" s="43">
        <v>11153.65</v>
      </c>
      <c r="E121" s="16">
        <f t="shared" si="2"/>
        <v>1.4678278515261711E-2</v>
      </c>
      <c r="F121" s="16">
        <f t="shared" si="3"/>
        <v>1.9583447495250539E-3</v>
      </c>
      <c r="G121" s="16"/>
    </row>
    <row r="122" spans="2:7" x14ac:dyDescent="0.35">
      <c r="B122" s="43">
        <v>2956.75</v>
      </c>
      <c r="D122" s="43">
        <v>11131.85</v>
      </c>
      <c r="E122" s="16">
        <f t="shared" si="2"/>
        <v>1.3175478874687174E-2</v>
      </c>
      <c r="F122" s="16">
        <f t="shared" si="3"/>
        <v>3.0197444831591369E-2</v>
      </c>
      <c r="G122" s="16"/>
    </row>
    <row r="123" spans="2:7" x14ac:dyDescent="0.35">
      <c r="B123" s="43">
        <v>2918.3</v>
      </c>
      <c r="D123" s="43">
        <v>10805.55</v>
      </c>
      <c r="E123" s="16">
        <f t="shared" si="2"/>
        <v>-2.7881412391738802E-2</v>
      </c>
      <c r="F123" s="16">
        <f t="shared" si="3"/>
        <v>-2.2144295377932721E-2</v>
      </c>
      <c r="G123" s="16"/>
    </row>
    <row r="124" spans="2:7" x14ac:dyDescent="0.35">
      <c r="B124" s="43">
        <v>3002</v>
      </c>
      <c r="D124" s="43">
        <v>11050.25</v>
      </c>
      <c r="E124" s="16">
        <f t="shared" si="2"/>
        <v>-2.8132992327365769E-2</v>
      </c>
      <c r="F124" s="16">
        <f t="shared" si="3"/>
        <v>-1.5791512841180744E-2</v>
      </c>
      <c r="G124" s="16"/>
    </row>
    <row r="125" spans="2:7" x14ac:dyDescent="0.35">
      <c r="B125" s="43">
        <v>3088.9</v>
      </c>
      <c r="D125" s="43">
        <v>11227.55</v>
      </c>
      <c r="E125" s="16">
        <f t="shared" si="2"/>
        <v>-2.71027890202995E-2</v>
      </c>
      <c r="F125" s="16">
        <f t="shared" si="3"/>
        <v>4.589036213287212E-4</v>
      </c>
      <c r="G125" s="16"/>
    </row>
    <row r="126" spans="2:7" x14ac:dyDescent="0.35">
      <c r="B126" s="43">
        <v>3174.95</v>
      </c>
      <c r="D126" s="43">
        <v>11222.4</v>
      </c>
      <c r="E126" s="16">
        <f t="shared" si="2"/>
        <v>8.7853080418134333E-3</v>
      </c>
      <c r="F126" s="16">
        <f t="shared" si="3"/>
        <v>-2.2360425159256847E-3</v>
      </c>
      <c r="G126" s="16"/>
    </row>
    <row r="127" spans="2:7" x14ac:dyDescent="0.35">
      <c r="B127" s="43">
        <v>3147.3</v>
      </c>
      <c r="D127" s="43">
        <v>11247.55</v>
      </c>
      <c r="E127" s="16">
        <f t="shared" si="2"/>
        <v>-1.316854146503843E-3</v>
      </c>
      <c r="F127" s="16">
        <f t="shared" si="3"/>
        <v>-1.4837587972269417E-2</v>
      </c>
      <c r="G127" s="16"/>
    </row>
    <row r="128" spans="2:7" x14ac:dyDescent="0.35">
      <c r="B128" s="43">
        <v>3151.45</v>
      </c>
      <c r="D128" s="43">
        <v>11416.95</v>
      </c>
      <c r="E128" s="16">
        <f t="shared" si="2"/>
        <v>7.1104435638502661E-3</v>
      </c>
      <c r="F128" s="16">
        <f t="shared" si="3"/>
        <v>-7.5108555333880389E-3</v>
      </c>
      <c r="G128" s="16"/>
    </row>
    <row r="129" spans="2:7" x14ac:dyDescent="0.35">
      <c r="B129" s="43">
        <v>3129.2</v>
      </c>
      <c r="D129" s="43">
        <v>11503.35</v>
      </c>
      <c r="E129" s="16">
        <f t="shared" si="2"/>
        <v>-2.27972005675392E-3</v>
      </c>
      <c r="F129" s="16">
        <f t="shared" si="3"/>
        <v>-1.3637844697489299E-2</v>
      </c>
      <c r="G129" s="16"/>
    </row>
    <row r="130" spans="2:7" x14ac:dyDescent="0.35">
      <c r="B130" s="43">
        <v>3136.35</v>
      </c>
      <c r="D130" s="43">
        <v>11662.4</v>
      </c>
      <c r="E130" s="16">
        <f t="shared" si="2"/>
        <v>-3.0089836562398609E-2</v>
      </c>
      <c r="F130" s="16">
        <f t="shared" si="3"/>
        <v>-6.512562985301007E-3</v>
      </c>
      <c r="G130" s="16"/>
    </row>
    <row r="131" spans="2:7" x14ac:dyDescent="0.35">
      <c r="B131" s="43">
        <v>3233.65</v>
      </c>
      <c r="D131" s="43">
        <v>11738.85</v>
      </c>
      <c r="E131" s="16">
        <f t="shared" si="2"/>
        <v>-1.3875547016757417E-2</v>
      </c>
      <c r="F131" s="16">
        <f t="shared" si="3"/>
        <v>-8.0906832508069737E-3</v>
      </c>
      <c r="G131" s="16"/>
    </row>
    <row r="132" spans="2:7" x14ac:dyDescent="0.35">
      <c r="B132" s="43">
        <v>3279.15</v>
      </c>
      <c r="D132" s="43">
        <v>11834.6</v>
      </c>
      <c r="E132" s="16">
        <f t="shared" ref="E132:E195" si="4">B132/B133-1</f>
        <v>-1.4500811444370987E-2</v>
      </c>
      <c r="F132" s="16">
        <f t="shared" ref="F132:F195" si="5">D132/D133-1</f>
        <v>-6.6811032213661692E-3</v>
      </c>
      <c r="G132" s="16"/>
    </row>
    <row r="133" spans="2:7" x14ac:dyDescent="0.35">
      <c r="B133" s="43">
        <v>3327.4</v>
      </c>
      <c r="D133" s="43">
        <v>11914.2</v>
      </c>
      <c r="E133" s="16">
        <f t="shared" si="4"/>
        <v>1.2999665114013625E-2</v>
      </c>
      <c r="F133" s="16">
        <f t="shared" si="5"/>
        <v>-1.4039116750971248E-3</v>
      </c>
      <c r="G133" s="16"/>
    </row>
    <row r="134" spans="2:7" x14ac:dyDescent="0.35">
      <c r="B134" s="43">
        <v>3284.7</v>
      </c>
      <c r="D134" s="43">
        <v>11930.95</v>
      </c>
      <c r="E134" s="16">
        <f t="shared" si="4"/>
        <v>-1.0188409543651078E-3</v>
      </c>
      <c r="F134" s="16">
        <f t="shared" si="5"/>
        <v>-2.9745695253247106E-4</v>
      </c>
      <c r="G134" s="16"/>
    </row>
    <row r="135" spans="2:7" x14ac:dyDescent="0.35">
      <c r="B135" s="43">
        <v>3288.05</v>
      </c>
      <c r="D135" s="43">
        <v>11934.5</v>
      </c>
      <c r="E135" s="16">
        <f t="shared" si="4"/>
        <v>-6.8714510088195846E-3</v>
      </c>
      <c r="F135" s="16">
        <f t="shared" si="5"/>
        <v>-3.0531991763461663E-3</v>
      </c>
      <c r="G135" s="16"/>
    </row>
    <row r="136" spans="2:7" x14ac:dyDescent="0.35">
      <c r="B136" s="43">
        <v>3310.8</v>
      </c>
      <c r="D136" s="43">
        <v>11971.05</v>
      </c>
      <c r="E136" s="16">
        <f t="shared" si="4"/>
        <v>-1.0560299309054777E-3</v>
      </c>
      <c r="F136" s="16">
        <f t="shared" si="5"/>
        <v>2.4887952843878791E-2</v>
      </c>
      <c r="G136" s="16"/>
    </row>
    <row r="137" spans="2:7" x14ac:dyDescent="0.35">
      <c r="B137" s="43">
        <v>3314.3</v>
      </c>
      <c r="D137" s="43">
        <v>11680.35</v>
      </c>
      <c r="E137" s="16">
        <f t="shared" si="4"/>
        <v>-9.6071956849794748E-3</v>
      </c>
      <c r="F137" s="16">
        <f t="shared" si="5"/>
        <v>-6.979838384010173E-3</v>
      </c>
      <c r="G137" s="16"/>
    </row>
    <row r="138" spans="2:7" x14ac:dyDescent="0.35">
      <c r="B138" s="43">
        <v>3346.45</v>
      </c>
      <c r="D138" s="43">
        <v>11762.45</v>
      </c>
      <c r="E138" s="16">
        <f t="shared" si="4"/>
        <v>3.0088958660387188E-2</v>
      </c>
      <c r="F138" s="16">
        <f t="shared" si="5"/>
        <v>-9.31521386669798E-3</v>
      </c>
      <c r="G138" s="16"/>
    </row>
    <row r="139" spans="2:7" x14ac:dyDescent="0.35">
      <c r="B139" s="43">
        <v>3248.7</v>
      </c>
      <c r="D139" s="43">
        <v>11873.05</v>
      </c>
      <c r="E139" s="16">
        <f t="shared" si="4"/>
        <v>3.4284655300222955E-3</v>
      </c>
      <c r="F139" s="16">
        <f t="shared" si="5"/>
        <v>-1.9963351489475922E-3</v>
      </c>
      <c r="G139" s="16"/>
    </row>
    <row r="140" spans="2:7" x14ac:dyDescent="0.35">
      <c r="B140" s="43">
        <v>3237.6</v>
      </c>
      <c r="D140" s="43">
        <v>11896.8</v>
      </c>
      <c r="E140" s="16">
        <f t="shared" si="4"/>
        <v>1.8641748076832387E-2</v>
      </c>
      <c r="F140" s="16">
        <f t="shared" si="5"/>
        <v>-3.4219465305148633E-3</v>
      </c>
      <c r="G140" s="16"/>
    </row>
    <row r="141" spans="2:7" x14ac:dyDescent="0.35">
      <c r="B141" s="43">
        <v>3178.35</v>
      </c>
      <c r="D141" s="43">
        <v>11937.65</v>
      </c>
      <c r="E141" s="16">
        <f t="shared" si="4"/>
        <v>3.1429498620801466E-2</v>
      </c>
      <c r="F141" s="16">
        <f t="shared" si="5"/>
        <v>3.4632180188205464E-3</v>
      </c>
      <c r="G141" s="16"/>
    </row>
    <row r="142" spans="2:7" x14ac:dyDescent="0.35">
      <c r="B142" s="43">
        <v>3081.5</v>
      </c>
      <c r="D142" s="43">
        <v>11896.45</v>
      </c>
      <c r="E142" s="16">
        <f t="shared" si="4"/>
        <v>-9.4984008614455995E-3</v>
      </c>
      <c r="F142" s="16">
        <f t="shared" si="5"/>
        <v>-2.8414924960290522E-3</v>
      </c>
      <c r="G142" s="16"/>
    </row>
    <row r="143" spans="2:7" x14ac:dyDescent="0.35">
      <c r="B143" s="43">
        <v>3111.05</v>
      </c>
      <c r="D143" s="43">
        <v>11930.35</v>
      </c>
      <c r="E143" s="16">
        <f t="shared" si="4"/>
        <v>7.35347400748807E-2</v>
      </c>
      <c r="F143" s="16">
        <f t="shared" si="5"/>
        <v>1.3817424741348283E-2</v>
      </c>
      <c r="G143" s="16"/>
    </row>
    <row r="144" spans="2:7" x14ac:dyDescent="0.35">
      <c r="B144" s="43">
        <v>2897.95</v>
      </c>
      <c r="D144" s="43">
        <v>11767.75</v>
      </c>
      <c r="E144" s="16">
        <f t="shared" si="4"/>
        <v>-4.8077748587715963E-3</v>
      </c>
      <c r="F144" s="16">
        <f t="shared" si="5"/>
        <v>-1.0231803118744387E-2</v>
      </c>
      <c r="G144" s="16"/>
    </row>
    <row r="145" spans="2:7" x14ac:dyDescent="0.35">
      <c r="B145" s="43">
        <v>2911.95</v>
      </c>
      <c r="D145" s="43">
        <v>11889.4</v>
      </c>
      <c r="E145" s="16">
        <f t="shared" si="4"/>
        <v>-1.1625144253614828E-2</v>
      </c>
      <c r="F145" s="16">
        <f t="shared" si="5"/>
        <v>1.3623652980493839E-2</v>
      </c>
      <c r="G145" s="16"/>
    </row>
    <row r="146" spans="2:7" x14ac:dyDescent="0.35">
      <c r="B146" s="43">
        <v>2946.2</v>
      </c>
      <c r="D146" s="43">
        <v>11729.6</v>
      </c>
      <c r="E146" s="16">
        <f t="shared" si="4"/>
        <v>1.8037318590186535E-2</v>
      </c>
      <c r="F146" s="16">
        <f t="shared" si="5"/>
        <v>5.0382150323886599E-3</v>
      </c>
      <c r="G146" s="16"/>
    </row>
    <row r="147" spans="2:7" x14ac:dyDescent="0.35">
      <c r="B147" s="43">
        <v>2894</v>
      </c>
      <c r="D147" s="43">
        <v>11670.8</v>
      </c>
      <c r="E147" s="16">
        <f t="shared" si="4"/>
        <v>3.3645260375741115E-2</v>
      </c>
      <c r="F147" s="16">
        <f t="shared" si="5"/>
        <v>2.4393595822167491E-3</v>
      </c>
      <c r="G147" s="16"/>
    </row>
    <row r="148" spans="2:7" x14ac:dyDescent="0.35">
      <c r="B148" s="43">
        <v>2799.8</v>
      </c>
      <c r="D148" s="43">
        <v>11642.4</v>
      </c>
      <c r="E148" s="16">
        <f t="shared" si="4"/>
        <v>-1.2642603988503476E-2</v>
      </c>
      <c r="F148" s="16">
        <f t="shared" si="5"/>
        <v>-2.2923691956997505E-3</v>
      </c>
      <c r="G148" s="16"/>
    </row>
    <row r="149" spans="2:7" x14ac:dyDescent="0.35">
      <c r="B149" s="43">
        <v>2835.65</v>
      </c>
      <c r="D149" s="43">
        <v>11669.15</v>
      </c>
      <c r="E149" s="16">
        <f t="shared" si="4"/>
        <v>-3.4639477088581727E-2</v>
      </c>
      <c r="F149" s="16">
        <f t="shared" si="5"/>
        <v>-1.2219071401362913E-2</v>
      </c>
      <c r="G149" s="16"/>
    </row>
    <row r="150" spans="2:7" x14ac:dyDescent="0.35">
      <c r="B150" s="43">
        <v>2937.4</v>
      </c>
      <c r="D150" s="43">
        <v>11813.5</v>
      </c>
      <c r="E150" s="16">
        <f t="shared" si="4"/>
        <v>-1.0309973045822041E-2</v>
      </c>
      <c r="F150" s="16">
        <f t="shared" si="5"/>
        <v>-7.9774950665491007E-3</v>
      </c>
      <c r="G150" s="16"/>
    </row>
    <row r="151" spans="2:7" x14ac:dyDescent="0.35">
      <c r="B151" s="43">
        <v>2968</v>
      </c>
      <c r="D151" s="43">
        <v>11908.5</v>
      </c>
      <c r="E151" s="16">
        <f t="shared" si="4"/>
        <v>8.0323331125715658E-3</v>
      </c>
      <c r="F151" s="16">
        <f t="shared" si="5"/>
        <v>-1.7474814979827169E-2</v>
      </c>
      <c r="G151" s="16"/>
    </row>
    <row r="152" spans="2:7" x14ac:dyDescent="0.35">
      <c r="B152" s="43">
        <v>2944.35</v>
      </c>
      <c r="D152" s="43">
        <v>12120.3</v>
      </c>
      <c r="E152" s="16">
        <f t="shared" si="4"/>
        <v>-3.7345736644656125E-4</v>
      </c>
      <c r="F152" s="16">
        <f t="shared" si="5"/>
        <v>-1.168095698227678E-2</v>
      </c>
      <c r="G152" s="16"/>
    </row>
    <row r="153" spans="2:7" x14ac:dyDescent="0.35">
      <c r="B153" s="43">
        <v>2945.45</v>
      </c>
      <c r="D153" s="43">
        <v>12263.55</v>
      </c>
      <c r="E153" s="16">
        <f t="shared" si="4"/>
        <v>-2.9787594144030649E-3</v>
      </c>
      <c r="F153" s="16">
        <f t="shared" si="5"/>
        <v>-1.5849386688922662E-2</v>
      </c>
      <c r="G153" s="16"/>
    </row>
    <row r="154" spans="2:7" x14ac:dyDescent="0.35">
      <c r="B154" s="43">
        <v>2954.25</v>
      </c>
      <c r="D154" s="43">
        <v>12461.05</v>
      </c>
      <c r="E154" s="16">
        <f t="shared" si="4"/>
        <v>1.0165184243964287E-3</v>
      </c>
      <c r="F154" s="16">
        <f t="shared" si="5"/>
        <v>-1.3462802131247509E-2</v>
      </c>
      <c r="G154" s="16"/>
    </row>
    <row r="155" spans="2:7" x14ac:dyDescent="0.35">
      <c r="B155" s="43">
        <v>2951.25</v>
      </c>
      <c r="D155" s="43">
        <v>12631.1</v>
      </c>
      <c r="E155" s="16">
        <f t="shared" si="4"/>
        <v>-3.5586490858291242E-2</v>
      </c>
      <c r="F155" s="16">
        <f t="shared" si="5"/>
        <v>-9.2594408254667027E-3</v>
      </c>
      <c r="G155" s="16"/>
    </row>
    <row r="156" spans="2:7" x14ac:dyDescent="0.35">
      <c r="B156" s="43">
        <v>3060.15</v>
      </c>
      <c r="D156" s="43">
        <v>12749.15</v>
      </c>
      <c r="E156" s="16">
        <f t="shared" si="4"/>
        <v>-8.3122691036360274E-3</v>
      </c>
      <c r="F156" s="16">
        <f t="shared" si="5"/>
        <v>4.5978188924260532E-3</v>
      </c>
      <c r="G156" s="16"/>
    </row>
    <row r="157" spans="2:7" x14ac:dyDescent="0.35">
      <c r="B157" s="43">
        <v>3085.8</v>
      </c>
      <c r="D157" s="43">
        <v>12690.8</v>
      </c>
      <c r="E157" s="16">
        <f t="shared" si="4"/>
        <v>-1.3774809038320179E-2</v>
      </c>
      <c r="F157" s="16">
        <f t="shared" si="5"/>
        <v>-2.2916756748259104E-3</v>
      </c>
      <c r="G157" s="16"/>
    </row>
    <row r="158" spans="2:7" x14ac:dyDescent="0.35">
      <c r="B158" s="43">
        <v>3128.9</v>
      </c>
      <c r="D158" s="43">
        <v>12719.95</v>
      </c>
      <c r="E158" s="16">
        <f t="shared" si="4"/>
        <v>3.2197407053079496E-2</v>
      </c>
      <c r="F158" s="16">
        <f t="shared" si="5"/>
        <v>-1.198132699507537E-2</v>
      </c>
      <c r="G158" s="16"/>
    </row>
    <row r="159" spans="2:7" x14ac:dyDescent="0.35">
      <c r="B159" s="43">
        <v>3031.3</v>
      </c>
      <c r="D159" s="43">
        <v>12874.2</v>
      </c>
      <c r="E159" s="16">
        <f t="shared" si="4"/>
        <v>1.6191753268521625E-2</v>
      </c>
      <c r="F159" s="16">
        <f t="shared" si="5"/>
        <v>-4.9504376557880647E-3</v>
      </c>
      <c r="G159" s="16"/>
    </row>
    <row r="160" spans="2:7" x14ac:dyDescent="0.35">
      <c r="B160" s="43">
        <v>2983</v>
      </c>
      <c r="D160" s="43">
        <v>12938.25</v>
      </c>
      <c r="E160" s="16">
        <f t="shared" si="4"/>
        <v>-1.8403881545926426E-3</v>
      </c>
      <c r="F160" s="16">
        <f t="shared" si="5"/>
        <v>1.3040550592325229E-2</v>
      </c>
      <c r="G160" s="16"/>
    </row>
    <row r="161" spans="2:7" x14ac:dyDescent="0.35">
      <c r="B161" s="43">
        <v>2988.5</v>
      </c>
      <c r="D161" s="43">
        <v>12771.7</v>
      </c>
      <c r="E161" s="16">
        <f t="shared" si="4"/>
        <v>-3.3848565187668544E-3</v>
      </c>
      <c r="F161" s="16">
        <f t="shared" si="5"/>
        <v>-6.7928812781657966E-3</v>
      </c>
      <c r="G161" s="16"/>
    </row>
    <row r="162" spans="2:7" x14ac:dyDescent="0.35">
      <c r="B162" s="43">
        <v>2998.65</v>
      </c>
      <c r="D162" s="43">
        <v>12859.05</v>
      </c>
      <c r="E162" s="16">
        <f t="shared" si="4"/>
        <v>-1.9968951711741179E-2</v>
      </c>
      <c r="F162" s="16">
        <f t="shared" si="5"/>
        <v>-5.2141152443246908E-3</v>
      </c>
      <c r="G162" s="16"/>
    </row>
    <row r="163" spans="2:7" x14ac:dyDescent="0.35">
      <c r="B163" s="43">
        <v>3059.75</v>
      </c>
      <c r="D163" s="43">
        <v>12926.45</v>
      </c>
      <c r="E163" s="16">
        <f t="shared" si="4"/>
        <v>-4.6842216547663407E-3</v>
      </c>
      <c r="F163" s="16">
        <f t="shared" si="5"/>
        <v>-9.8581785732066995E-3</v>
      </c>
      <c r="G163" s="16"/>
    </row>
    <row r="164" spans="2:7" x14ac:dyDescent="0.35">
      <c r="B164" s="43">
        <v>3074.15</v>
      </c>
      <c r="D164" s="43">
        <v>13055.15</v>
      </c>
      <c r="E164" s="16">
        <f t="shared" si="4"/>
        <v>2.1736601578728809E-2</v>
      </c>
      <c r="F164" s="16">
        <f t="shared" si="5"/>
        <v>1.5301281652460696E-2</v>
      </c>
      <c r="G164" s="16"/>
    </row>
    <row r="165" spans="2:7" x14ac:dyDescent="0.35">
      <c r="B165" s="43">
        <v>3008.75</v>
      </c>
      <c r="D165" s="43">
        <v>12858.4</v>
      </c>
      <c r="E165" s="16">
        <f t="shared" si="4"/>
        <v>-5.2239176075780103E-3</v>
      </c>
      <c r="F165" s="16">
        <f t="shared" si="5"/>
        <v>-9.902209902209913E-3</v>
      </c>
      <c r="G165" s="16"/>
    </row>
    <row r="166" spans="2:7" x14ac:dyDescent="0.35">
      <c r="B166" s="43">
        <v>3024.55</v>
      </c>
      <c r="D166" s="43">
        <v>12987</v>
      </c>
      <c r="E166" s="16">
        <f t="shared" si="4"/>
        <v>-2.7116136191839391E-2</v>
      </c>
      <c r="F166" s="16">
        <f t="shared" si="5"/>
        <v>1.391785765231468E-3</v>
      </c>
      <c r="G166" s="16"/>
    </row>
    <row r="167" spans="2:7" x14ac:dyDescent="0.35">
      <c r="B167" s="43">
        <v>3108.85</v>
      </c>
      <c r="D167" s="43">
        <v>12968.95</v>
      </c>
      <c r="E167" s="16">
        <f t="shared" si="4"/>
        <v>-4.5012458805560041E-4</v>
      </c>
      <c r="F167" s="16">
        <f t="shared" si="5"/>
        <v>-1.0687273295929001E-2</v>
      </c>
      <c r="G167" s="16"/>
    </row>
    <row r="168" spans="2:7" x14ac:dyDescent="0.35">
      <c r="B168" s="43">
        <v>3110.25</v>
      </c>
      <c r="D168" s="43">
        <v>13109.05</v>
      </c>
      <c r="E168" s="16">
        <f t="shared" si="4"/>
        <v>-5.1020408163264808E-3</v>
      </c>
      <c r="F168" s="16">
        <f t="shared" si="5"/>
        <v>-3.5840244018692236E-4</v>
      </c>
      <c r="G168" s="16"/>
    </row>
    <row r="169" spans="2:7" x14ac:dyDescent="0.35">
      <c r="B169" s="43">
        <v>3126.2</v>
      </c>
      <c r="D169" s="43">
        <v>13113.75</v>
      </c>
      <c r="E169" s="16">
        <f t="shared" si="4"/>
        <v>-4.3473414335080118E-3</v>
      </c>
      <c r="F169" s="16">
        <f t="shared" si="5"/>
        <v>-1.5341977630406456E-3</v>
      </c>
      <c r="G169" s="16"/>
    </row>
    <row r="170" spans="2:7" x14ac:dyDescent="0.35">
      <c r="B170" s="43">
        <v>3139.85</v>
      </c>
      <c r="D170" s="43">
        <v>13133.9</v>
      </c>
      <c r="E170" s="16">
        <f t="shared" si="4"/>
        <v>-1.2765489160338928E-2</v>
      </c>
      <c r="F170" s="16">
        <f t="shared" si="5"/>
        <v>-9.4014805540575397E-3</v>
      </c>
      <c r="G170" s="16"/>
    </row>
    <row r="171" spans="2:7" x14ac:dyDescent="0.35">
      <c r="B171" s="43">
        <v>3180.45</v>
      </c>
      <c r="D171" s="43">
        <v>13258.55</v>
      </c>
      <c r="E171" s="16">
        <f t="shared" si="4"/>
        <v>2.0163513492224006E-3</v>
      </c>
      <c r="F171" s="16">
        <f t="shared" si="5"/>
        <v>-7.2777642588398583E-3</v>
      </c>
      <c r="G171" s="16"/>
    </row>
    <row r="172" spans="2:7" x14ac:dyDescent="0.35">
      <c r="B172" s="43">
        <v>3174.05</v>
      </c>
      <c r="D172" s="43">
        <v>13355.75</v>
      </c>
      <c r="E172" s="16">
        <f t="shared" si="4"/>
        <v>1.925535440900461E-3</v>
      </c>
      <c r="F172" s="16">
        <f t="shared" si="5"/>
        <v>-2.7775807421068777E-3</v>
      </c>
      <c r="G172" s="16"/>
    </row>
    <row r="173" spans="2:7" x14ac:dyDescent="0.35">
      <c r="B173" s="43">
        <v>3167.95</v>
      </c>
      <c r="D173" s="43">
        <v>13392.95</v>
      </c>
      <c r="E173" s="16">
        <f t="shared" si="4"/>
        <v>-7.1300968439527157E-3</v>
      </c>
      <c r="F173" s="16">
        <f t="shared" si="5"/>
        <v>-1.0063492767442006E-2</v>
      </c>
      <c r="G173" s="16"/>
    </row>
    <row r="174" spans="2:7" x14ac:dyDescent="0.35">
      <c r="B174" s="43">
        <v>3190.7</v>
      </c>
      <c r="D174" s="43">
        <v>13529.1</v>
      </c>
      <c r="E174" s="16">
        <f t="shared" si="4"/>
        <v>-1.1270074820776133E-3</v>
      </c>
      <c r="F174" s="16">
        <f t="shared" si="5"/>
        <v>3.7690213157446362E-3</v>
      </c>
      <c r="G174" s="16"/>
    </row>
    <row r="175" spans="2:7" x14ac:dyDescent="0.35">
      <c r="B175" s="43">
        <v>3194.3</v>
      </c>
      <c r="D175" s="43">
        <v>13478.3</v>
      </c>
      <c r="E175" s="16">
        <f t="shared" si="4"/>
        <v>2.8254795466675642E-3</v>
      </c>
      <c r="F175" s="16">
        <f t="shared" si="5"/>
        <v>-2.6306344972011342E-3</v>
      </c>
      <c r="G175" s="16"/>
    </row>
    <row r="176" spans="2:7" x14ac:dyDescent="0.35">
      <c r="B176" s="43">
        <v>3185.3</v>
      </c>
      <c r="D176" s="43">
        <v>13513.85</v>
      </c>
      <c r="E176" s="16">
        <f t="shared" si="4"/>
        <v>2.3011578051483017E-2</v>
      </c>
      <c r="F176" s="16">
        <f t="shared" si="5"/>
        <v>-3.2674074265294228E-3</v>
      </c>
      <c r="G176" s="16"/>
    </row>
    <row r="177" spans="2:7" x14ac:dyDescent="0.35">
      <c r="B177" s="43">
        <v>3113.65</v>
      </c>
      <c r="D177" s="43">
        <v>13558.15</v>
      </c>
      <c r="E177" s="16">
        <f t="shared" si="4"/>
        <v>4.1769081240872197E-4</v>
      </c>
      <c r="F177" s="16">
        <f t="shared" si="5"/>
        <v>-7.149253566335334E-4</v>
      </c>
      <c r="G177" s="16"/>
    </row>
    <row r="178" spans="2:7" x14ac:dyDescent="0.35">
      <c r="B178" s="43">
        <v>3112.35</v>
      </c>
      <c r="D178" s="43">
        <v>13567.85</v>
      </c>
      <c r="E178" s="16">
        <f t="shared" si="4"/>
        <v>-1.6519647153168115E-3</v>
      </c>
      <c r="F178" s="16">
        <f t="shared" si="5"/>
        <v>-8.39381116300153E-3</v>
      </c>
      <c r="G178" s="16"/>
    </row>
    <row r="179" spans="2:7" x14ac:dyDescent="0.35">
      <c r="B179" s="43">
        <v>3117.5</v>
      </c>
      <c r="D179" s="43">
        <v>13682.7</v>
      </c>
      <c r="E179" s="16">
        <f t="shared" si="4"/>
        <v>1.5581578397827478E-3</v>
      </c>
      <c r="F179" s="16">
        <f t="shared" si="5"/>
        <v>-4.2210367739634602E-3</v>
      </c>
      <c r="G179" s="16"/>
    </row>
    <row r="180" spans="2:7" x14ac:dyDescent="0.35">
      <c r="B180" s="43">
        <v>3112.65</v>
      </c>
      <c r="D180" s="43">
        <v>13740.7</v>
      </c>
      <c r="E180" s="16">
        <f t="shared" si="4"/>
        <v>-7.2241890728160785E-3</v>
      </c>
      <c r="F180" s="16">
        <f t="shared" si="5"/>
        <v>-1.4425295500541946E-3</v>
      </c>
      <c r="G180" s="16"/>
    </row>
    <row r="181" spans="2:7" x14ac:dyDescent="0.35">
      <c r="B181" s="43">
        <v>3135.3</v>
      </c>
      <c r="D181" s="43">
        <v>13760.55</v>
      </c>
      <c r="E181" s="16">
        <f t="shared" si="4"/>
        <v>4.7159413513242709E-2</v>
      </c>
      <c r="F181" s="16">
        <f t="shared" si="5"/>
        <v>3.2423246601242406E-2</v>
      </c>
      <c r="G181" s="16"/>
    </row>
    <row r="182" spans="2:7" x14ac:dyDescent="0.35">
      <c r="B182" s="43">
        <v>2994.1</v>
      </c>
      <c r="D182" s="43">
        <v>13328.4</v>
      </c>
      <c r="E182" s="16">
        <f t="shared" si="4"/>
        <v>-1.8038109606113295E-2</v>
      </c>
      <c r="F182" s="16">
        <f t="shared" si="5"/>
        <v>-1.0240377832069658E-2</v>
      </c>
      <c r="G182" s="16"/>
    </row>
    <row r="183" spans="2:7" x14ac:dyDescent="0.35">
      <c r="B183" s="43">
        <v>3049.1</v>
      </c>
      <c r="D183" s="43">
        <v>13466.3</v>
      </c>
      <c r="E183" s="16">
        <f t="shared" si="4"/>
        <v>2.97692472163269E-3</v>
      </c>
      <c r="F183" s="16">
        <f t="shared" si="5"/>
        <v>-9.9109630838682961E-3</v>
      </c>
      <c r="G183" s="16"/>
    </row>
    <row r="184" spans="2:7" x14ac:dyDescent="0.35">
      <c r="B184" s="43">
        <v>3040.05</v>
      </c>
      <c r="D184" s="43">
        <v>13601.1</v>
      </c>
      <c r="E184" s="16">
        <f t="shared" si="4"/>
        <v>-1.0754612606163061E-2</v>
      </c>
      <c r="F184" s="16">
        <f t="shared" si="5"/>
        <v>-1.0775133189082964E-2</v>
      </c>
      <c r="G184" s="16"/>
    </row>
    <row r="185" spans="2:7" x14ac:dyDescent="0.35">
      <c r="B185" s="43">
        <v>3073.1</v>
      </c>
      <c r="D185" s="43">
        <v>13749.25</v>
      </c>
      <c r="E185" s="16">
        <f t="shared" si="4"/>
        <v>-3.0818140530720628E-3</v>
      </c>
      <c r="F185" s="16">
        <f t="shared" si="5"/>
        <v>-8.9344924026180106E-3</v>
      </c>
      <c r="G185" s="16"/>
    </row>
    <row r="186" spans="2:7" x14ac:dyDescent="0.35">
      <c r="B186" s="43">
        <v>3082.6</v>
      </c>
      <c r="D186" s="43">
        <v>13873.2</v>
      </c>
      <c r="E186" s="16">
        <f t="shared" si="4"/>
        <v>2.7976577748860532E-3</v>
      </c>
      <c r="F186" s="16">
        <f t="shared" si="5"/>
        <v>-4.2633822832780499E-3</v>
      </c>
      <c r="G186" s="16"/>
    </row>
    <row r="187" spans="2:7" x14ac:dyDescent="0.35">
      <c r="B187" s="43">
        <v>3074</v>
      </c>
      <c r="D187" s="43">
        <v>13932.6</v>
      </c>
      <c r="E187" s="16">
        <f t="shared" si="4"/>
        <v>-8.8347198039595565E-3</v>
      </c>
      <c r="F187" s="16">
        <f t="shared" si="5"/>
        <v>-3.5295505991653764E-3</v>
      </c>
      <c r="G187" s="16"/>
    </row>
    <row r="188" spans="2:7" x14ac:dyDescent="0.35">
      <c r="B188" s="43">
        <v>3101.4</v>
      </c>
      <c r="D188" s="43">
        <v>13981.95</v>
      </c>
      <c r="E188" s="16">
        <f t="shared" si="4"/>
        <v>-2.7652733118971318E-3</v>
      </c>
      <c r="F188" s="16">
        <f t="shared" si="5"/>
        <v>1.430436104210564E-5</v>
      </c>
      <c r="G188" s="16"/>
    </row>
    <row r="189" spans="2:7" x14ac:dyDescent="0.35">
      <c r="B189" s="43">
        <v>3110</v>
      </c>
      <c r="D189" s="43">
        <v>13981.75</v>
      </c>
      <c r="E189" s="16">
        <f t="shared" si="4"/>
        <v>2.3689426780333367E-3</v>
      </c>
      <c r="F189" s="16">
        <f t="shared" si="5"/>
        <v>-2.6215358276563405E-3</v>
      </c>
      <c r="G189" s="16"/>
    </row>
    <row r="190" spans="2:7" x14ac:dyDescent="0.35">
      <c r="B190" s="43">
        <v>3102.65</v>
      </c>
      <c r="D190" s="43">
        <v>14018.5</v>
      </c>
      <c r="E190" s="16">
        <f t="shared" si="4"/>
        <v>1.9317640488197618E-2</v>
      </c>
      <c r="F190" s="16">
        <f t="shared" si="5"/>
        <v>-8.0945878057582243E-3</v>
      </c>
      <c r="G190" s="16"/>
    </row>
    <row r="191" spans="2:7" x14ac:dyDescent="0.35">
      <c r="B191" s="43">
        <v>3043.85</v>
      </c>
      <c r="D191" s="43">
        <v>14132.9</v>
      </c>
      <c r="E191" s="16">
        <f t="shared" si="4"/>
        <v>-7.612806468440203E-3</v>
      </c>
      <c r="F191" s="16">
        <f t="shared" si="5"/>
        <v>-4.6903059966900695E-3</v>
      </c>
      <c r="G191" s="16"/>
    </row>
    <row r="192" spans="2:7" x14ac:dyDescent="0.35">
      <c r="B192" s="43">
        <v>3067.2</v>
      </c>
      <c r="D192" s="43">
        <v>14199.5</v>
      </c>
      <c r="E192" s="16">
        <f t="shared" si="4"/>
        <v>-5.3023301065331374E-3</v>
      </c>
      <c r="F192" s="16">
        <f t="shared" si="5"/>
        <v>3.7642484757445249E-3</v>
      </c>
      <c r="G192" s="16"/>
    </row>
    <row r="193" spans="2:7" x14ac:dyDescent="0.35">
      <c r="B193" s="43">
        <v>3083.55</v>
      </c>
      <c r="D193" s="43">
        <v>14146.25</v>
      </c>
      <c r="E193" s="16">
        <f t="shared" si="4"/>
        <v>9.2627444562638495E-3</v>
      </c>
      <c r="F193" s="16">
        <f t="shared" si="5"/>
        <v>6.2953806760113196E-4</v>
      </c>
      <c r="G193" s="16"/>
    </row>
    <row r="194" spans="2:7" x14ac:dyDescent="0.35">
      <c r="B194" s="43">
        <v>3055.25</v>
      </c>
      <c r="D194" s="43">
        <v>14137.35</v>
      </c>
      <c r="E194" s="16">
        <f t="shared" si="4"/>
        <v>-3.3485179209768678E-2</v>
      </c>
      <c r="F194" s="16">
        <f t="shared" si="5"/>
        <v>-1.4629981355312016E-2</v>
      </c>
      <c r="G194" s="16"/>
    </row>
    <row r="195" spans="2:7" x14ac:dyDescent="0.35">
      <c r="B195" s="43">
        <v>3161.1</v>
      </c>
      <c r="D195" s="43">
        <v>14347.25</v>
      </c>
      <c r="E195" s="16">
        <f t="shared" si="4"/>
        <v>-1.1445726616005181E-2</v>
      </c>
      <c r="F195" s="16">
        <f t="shared" si="5"/>
        <v>-9.4927423669721733E-3</v>
      </c>
      <c r="G195" s="16"/>
    </row>
    <row r="196" spans="2:7" x14ac:dyDescent="0.35">
      <c r="B196" s="43">
        <v>3197.7</v>
      </c>
      <c r="D196" s="43">
        <v>14484.75</v>
      </c>
      <c r="E196" s="16">
        <f t="shared" ref="E196:E259" si="6">B196/B197-1</f>
        <v>-1.5562225813899877E-2</v>
      </c>
      <c r="F196" s="16">
        <f t="shared" ref="F196:F259" si="7">D196/D197-1</f>
        <v>-5.4039393138302083E-3</v>
      </c>
      <c r="G196" s="16"/>
    </row>
    <row r="197" spans="2:7" x14ac:dyDescent="0.35">
      <c r="B197" s="43">
        <v>3248.25</v>
      </c>
      <c r="D197" s="43">
        <v>14563.45</v>
      </c>
      <c r="E197" s="16">
        <f t="shared" si="6"/>
        <v>-2.6252763448784133E-3</v>
      </c>
      <c r="F197" s="16">
        <f t="shared" si="7"/>
        <v>-9.6121827550588179E-5</v>
      </c>
      <c r="G197" s="16"/>
    </row>
    <row r="198" spans="2:7" x14ac:dyDescent="0.35">
      <c r="B198" s="43">
        <v>3256.8</v>
      </c>
      <c r="D198" s="43">
        <v>14564.85</v>
      </c>
      <c r="E198" s="16">
        <f t="shared" si="6"/>
        <v>-3.0000612257392589E-3</v>
      </c>
      <c r="F198" s="16">
        <f t="shared" si="7"/>
        <v>-2.1067993093809578E-3</v>
      </c>
      <c r="G198" s="16"/>
    </row>
    <row r="199" spans="2:7" x14ac:dyDescent="0.35">
      <c r="B199" s="43">
        <v>3266.6</v>
      </c>
      <c r="D199" s="43">
        <v>14595.6</v>
      </c>
      <c r="E199" s="16">
        <f t="shared" si="6"/>
        <v>1.9856384639400426E-2</v>
      </c>
      <c r="F199" s="16">
        <f t="shared" si="7"/>
        <v>1.1216805115805251E-2</v>
      </c>
      <c r="G199" s="16"/>
    </row>
    <row r="200" spans="2:7" x14ac:dyDescent="0.35">
      <c r="B200" s="43">
        <v>3203</v>
      </c>
      <c r="D200" s="43">
        <v>14433.7</v>
      </c>
      <c r="E200" s="16">
        <f t="shared" si="6"/>
        <v>1.2598201160235911E-2</v>
      </c>
      <c r="F200" s="16">
        <f t="shared" si="7"/>
        <v>1.0671297430906224E-2</v>
      </c>
      <c r="G200" s="16"/>
    </row>
    <row r="201" spans="2:7" x14ac:dyDescent="0.35">
      <c r="B201" s="43">
        <v>3163.15</v>
      </c>
      <c r="D201" s="43">
        <v>14281.3</v>
      </c>
      <c r="E201" s="16">
        <f t="shared" si="6"/>
        <v>-2.1575056450864549E-2</v>
      </c>
      <c r="F201" s="16">
        <f t="shared" si="7"/>
        <v>-1.6517286854002666E-2</v>
      </c>
      <c r="G201" s="16"/>
    </row>
    <row r="202" spans="2:7" x14ac:dyDescent="0.35">
      <c r="B202" s="43">
        <v>3232.9</v>
      </c>
      <c r="D202" s="43">
        <v>14521.15</v>
      </c>
      <c r="E202" s="16">
        <f t="shared" si="6"/>
        <v>-1.3035779704481554E-2</v>
      </c>
      <c r="F202" s="16">
        <f t="shared" si="7"/>
        <v>-8.4364992113188375E-3</v>
      </c>
      <c r="G202" s="16"/>
    </row>
    <row r="203" spans="2:7" x14ac:dyDescent="0.35">
      <c r="B203" s="43">
        <v>3275.6</v>
      </c>
      <c r="D203" s="43">
        <v>14644.7</v>
      </c>
      <c r="E203" s="16">
        <f t="shared" si="6"/>
        <v>8.7149324053827915E-3</v>
      </c>
      <c r="F203" s="16">
        <f t="shared" si="7"/>
        <v>3.7250648545099629E-3</v>
      </c>
      <c r="G203" s="16"/>
    </row>
    <row r="204" spans="2:7" x14ac:dyDescent="0.35">
      <c r="B204" s="43">
        <v>3247.3</v>
      </c>
      <c r="D204" s="43">
        <v>14590.35</v>
      </c>
      <c r="E204" s="16">
        <f t="shared" si="6"/>
        <v>-3.7808527660078806E-2</v>
      </c>
      <c r="F204" s="16">
        <f t="shared" si="7"/>
        <v>1.519979960895923E-2</v>
      </c>
      <c r="G204" s="16"/>
    </row>
    <row r="205" spans="2:7" x14ac:dyDescent="0.35">
      <c r="B205" s="43">
        <v>3374.9</v>
      </c>
      <c r="D205" s="43">
        <v>14371.9</v>
      </c>
      <c r="E205" s="16">
        <f t="shared" si="6"/>
        <v>-2.8791781176707554E-2</v>
      </c>
      <c r="F205" s="16">
        <f t="shared" si="7"/>
        <v>9.3406091762706644E-3</v>
      </c>
      <c r="G205" s="16"/>
    </row>
    <row r="206" spans="2:7" x14ac:dyDescent="0.35">
      <c r="B206" s="43">
        <v>3474.95</v>
      </c>
      <c r="D206" s="43">
        <v>14238.9</v>
      </c>
      <c r="E206" s="16">
        <f t="shared" si="6"/>
        <v>3.4657813639814794E-2</v>
      </c>
      <c r="F206" s="16">
        <f t="shared" si="7"/>
        <v>1.9430821550026733E-2</v>
      </c>
      <c r="G206" s="16"/>
    </row>
    <row r="207" spans="2:7" x14ac:dyDescent="0.35">
      <c r="B207" s="43">
        <v>3358.55</v>
      </c>
      <c r="D207" s="43">
        <v>13967.5</v>
      </c>
      <c r="E207" s="16">
        <f t="shared" si="6"/>
        <v>-1.1435215164537604E-2</v>
      </c>
      <c r="F207" s="16">
        <f t="shared" si="7"/>
        <v>1.0852140936707277E-2</v>
      </c>
      <c r="G207" s="16"/>
    </row>
    <row r="208" spans="2:7" x14ac:dyDescent="0.35">
      <c r="B208" s="43">
        <v>3397.4</v>
      </c>
      <c r="D208" s="43">
        <v>13817.55</v>
      </c>
      <c r="E208" s="16">
        <f t="shared" si="6"/>
        <v>4.3411495523717258E-2</v>
      </c>
      <c r="F208" s="16">
        <f t="shared" si="7"/>
        <v>1.3418068736889888E-2</v>
      </c>
      <c r="G208" s="16"/>
    </row>
    <row r="209" spans="2:7" x14ac:dyDescent="0.35">
      <c r="B209" s="43">
        <v>3256.05</v>
      </c>
      <c r="D209" s="43">
        <v>13634.6</v>
      </c>
      <c r="E209" s="16">
        <f t="shared" si="6"/>
        <v>-2.5324412913654504E-2</v>
      </c>
      <c r="F209" s="16">
        <f t="shared" si="7"/>
        <v>-4.5276307313110942E-2</v>
      </c>
      <c r="G209" s="16"/>
    </row>
    <row r="210" spans="2:7" x14ac:dyDescent="0.35">
      <c r="B210" s="43">
        <v>3340.65</v>
      </c>
      <c r="D210" s="43">
        <v>14281.2</v>
      </c>
      <c r="E210" s="16">
        <f t="shared" si="6"/>
        <v>1.4208297281296911E-2</v>
      </c>
      <c r="F210" s="16">
        <f t="shared" si="7"/>
        <v>-2.5030977242393893E-2</v>
      </c>
      <c r="G210" s="16"/>
    </row>
    <row r="211" spans="2:7" x14ac:dyDescent="0.35">
      <c r="B211" s="43">
        <v>3293.85</v>
      </c>
      <c r="D211" s="43">
        <v>14647.85</v>
      </c>
      <c r="E211" s="16">
        <f t="shared" si="6"/>
        <v>-2.5718764789399051E-2</v>
      </c>
      <c r="F211" s="16">
        <f t="shared" si="7"/>
        <v>-9.6078756182408354E-3</v>
      </c>
      <c r="G211" s="16"/>
    </row>
    <row r="212" spans="2:7" x14ac:dyDescent="0.35">
      <c r="B212" s="43">
        <v>3380.8</v>
      </c>
      <c r="D212" s="43">
        <v>14789.95</v>
      </c>
      <c r="E212" s="16">
        <f t="shared" si="6"/>
        <v>-1.7409248118115395E-2</v>
      </c>
      <c r="F212" s="16">
        <f t="shared" si="7"/>
        <v>-7.0960313917149964E-3</v>
      </c>
      <c r="G212" s="16"/>
    </row>
    <row r="213" spans="2:7" x14ac:dyDescent="0.35">
      <c r="B213" s="43">
        <v>3440.7</v>
      </c>
      <c r="D213" s="43">
        <v>14895.65</v>
      </c>
      <c r="E213" s="16">
        <f t="shared" si="6"/>
        <v>3.353551848827685E-3</v>
      </c>
      <c r="F213" s="16">
        <f t="shared" si="7"/>
        <v>-1.9163442049013879E-3</v>
      </c>
      <c r="G213" s="16"/>
    </row>
    <row r="214" spans="2:7" x14ac:dyDescent="0.35">
      <c r="B214" s="43">
        <v>3429.2</v>
      </c>
      <c r="D214" s="43">
        <v>14924.25</v>
      </c>
      <c r="E214" s="16">
        <f t="shared" si="6"/>
        <v>-1.8826895565093094E-2</v>
      </c>
      <c r="F214" s="16">
        <f t="shared" si="7"/>
        <v>-1.2672170841106611E-2</v>
      </c>
      <c r="G214" s="16"/>
    </row>
    <row r="215" spans="2:7" x14ac:dyDescent="0.35">
      <c r="B215" s="43">
        <v>3495</v>
      </c>
      <c r="D215" s="43">
        <v>15115.8</v>
      </c>
      <c r="E215" s="16">
        <f t="shared" si="6"/>
        <v>-1.2716283987482813E-3</v>
      </c>
      <c r="F215" s="16">
        <f t="shared" si="7"/>
        <v>4.3019861939330717E-4</v>
      </c>
      <c r="G215" s="16"/>
    </row>
    <row r="216" spans="2:7" x14ac:dyDescent="0.35">
      <c r="B216" s="43">
        <v>3499.45</v>
      </c>
      <c r="D216" s="43">
        <v>15109.3</v>
      </c>
      <c r="E216" s="16">
        <f t="shared" si="6"/>
        <v>-1.1161502705604787E-2</v>
      </c>
      <c r="F216" s="16">
        <f t="shared" si="7"/>
        <v>1.8535067686098472E-4</v>
      </c>
      <c r="G216" s="16"/>
    </row>
    <row r="217" spans="2:7" x14ac:dyDescent="0.35">
      <c r="B217" s="43">
        <v>3538.95</v>
      </c>
      <c r="D217" s="43">
        <v>15106.5</v>
      </c>
      <c r="E217" s="16">
        <f t="shared" si="6"/>
        <v>-7.2003388394747958E-4</v>
      </c>
      <c r="F217" s="16">
        <f t="shared" si="7"/>
        <v>-4.4024701284492984E-3</v>
      </c>
      <c r="G217" s="16"/>
    </row>
    <row r="218" spans="2:7" x14ac:dyDescent="0.35">
      <c r="B218" s="43">
        <v>3541.5</v>
      </c>
      <c r="D218" s="43">
        <v>15173.3</v>
      </c>
      <c r="E218" s="16">
        <f t="shared" si="6"/>
        <v>7.3241840290123594E-3</v>
      </c>
      <c r="F218" s="16">
        <f t="shared" si="7"/>
        <v>6.5948705097174098E-4</v>
      </c>
      <c r="G218" s="16"/>
    </row>
    <row r="219" spans="2:7" x14ac:dyDescent="0.35">
      <c r="B219" s="43">
        <v>3515.75</v>
      </c>
      <c r="D219" s="43">
        <v>15163.3</v>
      </c>
      <c r="E219" s="16">
        <f t="shared" si="6"/>
        <v>1.4529347261499348E-2</v>
      </c>
      <c r="F219" s="16">
        <f t="shared" si="7"/>
        <v>-9.8859265934038154E-3</v>
      </c>
      <c r="G219" s="16"/>
    </row>
    <row r="220" spans="2:7" x14ac:dyDescent="0.35">
      <c r="B220" s="43">
        <v>3465.4</v>
      </c>
      <c r="D220" s="43">
        <v>15314.7</v>
      </c>
      <c r="E220" s="16">
        <f t="shared" si="6"/>
        <v>1.1122185148271235E-3</v>
      </c>
      <c r="F220" s="16">
        <f t="shared" si="7"/>
        <v>8.1627588818911079E-5</v>
      </c>
      <c r="G220" s="16"/>
    </row>
    <row r="221" spans="2:7" x14ac:dyDescent="0.35">
      <c r="B221" s="43">
        <v>3461.55</v>
      </c>
      <c r="D221" s="43">
        <v>15313.45</v>
      </c>
      <c r="E221" s="16">
        <f t="shared" si="6"/>
        <v>-3.4165736607142838E-2</v>
      </c>
      <c r="F221" s="16">
        <f t="shared" si="7"/>
        <v>6.8742644109700546E-3</v>
      </c>
      <c r="G221" s="16"/>
    </row>
    <row r="222" spans="2:7" x14ac:dyDescent="0.35">
      <c r="B222" s="43">
        <v>3584</v>
      </c>
      <c r="D222" s="43">
        <v>15208.9</v>
      </c>
      <c r="E222" s="16">
        <f t="shared" si="6"/>
        <v>1.7358104943440811E-2</v>
      </c>
      <c r="F222" s="16">
        <f t="shared" si="7"/>
        <v>5.9494872329095561E-3</v>
      </c>
      <c r="G222" s="16"/>
    </row>
    <row r="223" spans="2:7" x14ac:dyDescent="0.35">
      <c r="B223" s="43">
        <v>3522.85</v>
      </c>
      <c r="D223" s="43">
        <v>15118.95</v>
      </c>
      <c r="E223" s="16">
        <f t="shared" si="6"/>
        <v>3.928076230934896E-2</v>
      </c>
      <c r="F223" s="16">
        <f t="shared" si="7"/>
        <v>9.1578086672117198E-3</v>
      </c>
      <c r="G223" s="16"/>
    </row>
    <row r="224" spans="2:7" x14ac:dyDescent="0.35">
      <c r="B224" s="43">
        <v>3389.7</v>
      </c>
      <c r="D224" s="43">
        <v>14981.75</v>
      </c>
      <c r="E224" s="16">
        <f t="shared" si="6"/>
        <v>-7.1613725231757241E-3</v>
      </c>
      <c r="F224" s="16">
        <f t="shared" si="7"/>
        <v>2.0854201162465724E-2</v>
      </c>
      <c r="G224" s="16"/>
    </row>
    <row r="225" spans="2:7" x14ac:dyDescent="0.35">
      <c r="B225" s="43">
        <v>3414.15</v>
      </c>
      <c r="D225" s="43">
        <v>14675.7</v>
      </c>
      <c r="E225" s="16">
        <f t="shared" si="6"/>
        <v>2.5547284499847223E-3</v>
      </c>
      <c r="F225" s="16">
        <f t="shared" si="7"/>
        <v>-2.1825153999917024E-3</v>
      </c>
      <c r="G225" s="16"/>
    </row>
    <row r="226" spans="2:7" x14ac:dyDescent="0.35">
      <c r="B226" s="43">
        <v>3405.45</v>
      </c>
      <c r="D226" s="43">
        <v>14707.8</v>
      </c>
      <c r="E226" s="16">
        <f t="shared" si="6"/>
        <v>-1.0503835425383579E-2</v>
      </c>
      <c r="F226" s="16">
        <f t="shared" si="7"/>
        <v>-1.830196235482584E-2</v>
      </c>
      <c r="G226" s="16"/>
    </row>
    <row r="227" spans="2:7" x14ac:dyDescent="0.35">
      <c r="B227" s="43">
        <v>3441.6</v>
      </c>
      <c r="D227" s="43">
        <v>14982</v>
      </c>
      <c r="E227" s="16">
        <f t="shared" si="6"/>
        <v>2.0964360587001352E-3</v>
      </c>
      <c r="F227" s="16">
        <f t="shared" si="7"/>
        <v>-7.6404137149896911E-3</v>
      </c>
      <c r="G227" s="16"/>
    </row>
    <row r="228" spans="2:7" x14ac:dyDescent="0.35">
      <c r="B228" s="43">
        <v>3434.4</v>
      </c>
      <c r="D228" s="43">
        <v>15097.35</v>
      </c>
      <c r="E228" s="16">
        <f t="shared" si="6"/>
        <v>6.5260545905707179E-2</v>
      </c>
      <c r="F228" s="16">
        <f t="shared" si="7"/>
        <v>3.9107587160983392E-2</v>
      </c>
      <c r="G228" s="16"/>
    </row>
    <row r="229" spans="2:7" x14ac:dyDescent="0.35">
      <c r="B229" s="43">
        <v>3224</v>
      </c>
      <c r="D229" s="43">
        <v>14529.15</v>
      </c>
      <c r="E229" s="16">
        <f t="shared" si="6"/>
        <v>-3.7669392872067275E-2</v>
      </c>
      <c r="F229" s="16">
        <f t="shared" si="7"/>
        <v>-1.5743604160809666E-2</v>
      </c>
      <c r="G229" s="16"/>
    </row>
    <row r="230" spans="2:7" x14ac:dyDescent="0.35">
      <c r="B230" s="43">
        <v>3350.2</v>
      </c>
      <c r="D230" s="43">
        <v>14761.55</v>
      </c>
      <c r="E230" s="16">
        <f t="shared" si="6"/>
        <v>-3.6301921528017589E-2</v>
      </c>
      <c r="F230" s="16">
        <f t="shared" si="7"/>
        <v>-1.0560288489252057E-2</v>
      </c>
      <c r="G230" s="16"/>
    </row>
    <row r="231" spans="2:7" x14ac:dyDescent="0.35">
      <c r="B231" s="43">
        <v>3476.4</v>
      </c>
      <c r="D231" s="43">
        <v>14919.1</v>
      </c>
      <c r="E231" s="16">
        <f t="shared" si="6"/>
        <v>1.5199964956853274E-2</v>
      </c>
      <c r="F231" s="16">
        <f t="shared" si="7"/>
        <v>-2.1416015112557085E-2</v>
      </c>
      <c r="G231" s="16"/>
    </row>
    <row r="232" spans="2:7" x14ac:dyDescent="0.35">
      <c r="B232" s="43">
        <v>3424.35</v>
      </c>
      <c r="D232" s="43">
        <v>15245.6</v>
      </c>
      <c r="E232" s="16">
        <f t="shared" si="6"/>
        <v>1.3158471862801946E-3</v>
      </c>
      <c r="F232" s="16">
        <f t="shared" si="7"/>
        <v>1.0931153954544692E-2</v>
      </c>
      <c r="G232" s="16"/>
    </row>
    <row r="233" spans="2:7" x14ac:dyDescent="0.35">
      <c r="B233" s="43">
        <v>3419.85</v>
      </c>
      <c r="D233" s="43">
        <v>15080.75</v>
      </c>
      <c r="E233" s="16">
        <f t="shared" si="6"/>
        <v>-1.2089435826328043E-2</v>
      </c>
      <c r="F233" s="16">
        <f t="shared" si="7"/>
        <v>9.5494072204631575E-3</v>
      </c>
      <c r="G233" s="16"/>
    </row>
    <row r="234" spans="2:7" x14ac:dyDescent="0.35">
      <c r="B234" s="43">
        <v>3461.7</v>
      </c>
      <c r="D234" s="43">
        <v>14938.1</v>
      </c>
      <c r="E234" s="16">
        <f t="shared" si="6"/>
        <v>-6.4954748192092016E-4</v>
      </c>
      <c r="F234" s="16">
        <f t="shared" si="7"/>
        <v>-1.2102004519864984E-3</v>
      </c>
      <c r="G234" s="16"/>
    </row>
    <row r="235" spans="2:7" x14ac:dyDescent="0.35">
      <c r="B235" s="43">
        <v>3463.95</v>
      </c>
      <c r="D235" s="43">
        <v>14956.2</v>
      </c>
      <c r="E235" s="16">
        <f t="shared" si="6"/>
        <v>4.378271017875468E-3</v>
      </c>
      <c r="F235" s="16">
        <f t="shared" si="7"/>
        <v>-9.4182164997614892E-3</v>
      </c>
      <c r="G235" s="16"/>
    </row>
    <row r="236" spans="2:7" x14ac:dyDescent="0.35">
      <c r="B236" s="43">
        <v>3448.85</v>
      </c>
      <c r="D236" s="43">
        <v>15098.4</v>
      </c>
      <c r="E236" s="16">
        <f t="shared" si="6"/>
        <v>8.6273706991095711E-3</v>
      </c>
      <c r="F236" s="16">
        <f t="shared" si="7"/>
        <v>-5.0346627303160529E-3</v>
      </c>
      <c r="G236" s="16"/>
    </row>
    <row r="237" spans="2:7" x14ac:dyDescent="0.35">
      <c r="B237" s="43">
        <v>3419.35</v>
      </c>
      <c r="D237" s="43">
        <v>15174.8</v>
      </c>
      <c r="E237" s="16">
        <f t="shared" si="6"/>
        <v>2.0533942188595722E-2</v>
      </c>
      <c r="F237" s="16">
        <f t="shared" si="7"/>
        <v>9.5702533771981901E-3</v>
      </c>
      <c r="G237" s="16"/>
    </row>
    <row r="238" spans="2:7" x14ac:dyDescent="0.35">
      <c r="B238" s="43">
        <v>3350.55</v>
      </c>
      <c r="D238" s="43">
        <v>15030.95</v>
      </c>
      <c r="E238" s="16">
        <f t="shared" si="6"/>
        <v>2.6469371811957298E-2</v>
      </c>
      <c r="F238" s="16">
        <f t="shared" si="7"/>
        <v>6.7952711075387473E-3</v>
      </c>
      <c r="G238" s="16"/>
    </row>
    <row r="239" spans="2:7" x14ac:dyDescent="0.35">
      <c r="B239" s="43">
        <v>3264.15</v>
      </c>
      <c r="D239" s="43">
        <v>14929.5</v>
      </c>
      <c r="E239" s="16">
        <f t="shared" si="6"/>
        <v>2.7956559807069681E-3</v>
      </c>
      <c r="F239" s="16">
        <f t="shared" si="7"/>
        <v>1.2776274357915174E-3</v>
      </c>
      <c r="G239" s="16"/>
    </row>
    <row r="240" spans="2:7" x14ac:dyDescent="0.35">
      <c r="B240" s="43">
        <v>3255.05</v>
      </c>
      <c r="D240" s="43">
        <v>14910.45</v>
      </c>
      <c r="E240" s="16">
        <f t="shared" si="6"/>
        <v>2.0215950228017032E-2</v>
      </c>
      <c r="F240" s="16">
        <f t="shared" si="7"/>
        <v>1.2848729392105351E-2</v>
      </c>
      <c r="G240" s="16"/>
    </row>
    <row r="241" spans="2:7" x14ac:dyDescent="0.35">
      <c r="B241" s="43">
        <v>3190.55</v>
      </c>
      <c r="D241" s="43">
        <v>14721.3</v>
      </c>
      <c r="E241" s="16">
        <f t="shared" si="6"/>
        <v>2.6824794026776733E-2</v>
      </c>
      <c r="F241" s="16">
        <f t="shared" si="7"/>
        <v>1.122761946303874E-2</v>
      </c>
      <c r="G241" s="16"/>
    </row>
    <row r="242" spans="2:7" x14ac:dyDescent="0.35">
      <c r="B242" s="43">
        <v>3107.2</v>
      </c>
      <c r="D242" s="43">
        <v>14557.85</v>
      </c>
      <c r="E242" s="16">
        <f t="shared" si="6"/>
        <v>-3.8311719538978162E-3</v>
      </c>
      <c r="F242" s="16">
        <f t="shared" si="7"/>
        <v>-1.2625474769397682E-2</v>
      </c>
      <c r="G242" s="16"/>
    </row>
    <row r="243" spans="2:7" x14ac:dyDescent="0.35">
      <c r="B243" s="43">
        <v>3119.15</v>
      </c>
      <c r="D243" s="43">
        <v>14744</v>
      </c>
      <c r="E243" s="16">
        <f t="shared" si="6"/>
        <v>7.5262044349695412E-3</v>
      </c>
      <c r="F243" s="16">
        <f t="shared" si="7"/>
        <v>5.1572975760705297E-4</v>
      </c>
      <c r="G243" s="16"/>
    </row>
    <row r="244" spans="2:7" x14ac:dyDescent="0.35">
      <c r="B244" s="43">
        <v>3095.85</v>
      </c>
      <c r="D244" s="43">
        <v>14736.4</v>
      </c>
      <c r="E244" s="16">
        <f t="shared" si="6"/>
        <v>9.2585046211022259E-3</v>
      </c>
      <c r="F244" s="16">
        <f t="shared" si="7"/>
        <v>-5.2886481378355832E-3</v>
      </c>
      <c r="G244" s="16"/>
    </row>
    <row r="245" spans="2:7" x14ac:dyDescent="0.35">
      <c r="B245" s="43">
        <v>3067.45</v>
      </c>
      <c r="D245" s="43">
        <v>14814.75</v>
      </c>
      <c r="E245" s="16">
        <f t="shared" si="6"/>
        <v>1.1075036669578209E-2</v>
      </c>
      <c r="F245" s="16">
        <f t="shared" si="7"/>
        <v>1.8237865478988757E-2</v>
      </c>
      <c r="G245" s="16"/>
    </row>
    <row r="246" spans="2:7" x14ac:dyDescent="0.35">
      <c r="B246" s="43">
        <v>3033.85</v>
      </c>
      <c r="D246" s="43">
        <v>14549.4</v>
      </c>
      <c r="E246" s="16">
        <f t="shared" si="6"/>
        <v>3.1342953784440741E-2</v>
      </c>
      <c r="F246" s="16">
        <f t="shared" si="7"/>
        <v>1.5672011671983732E-2</v>
      </c>
      <c r="G246" s="16"/>
    </row>
    <row r="247" spans="2:7" x14ac:dyDescent="0.35">
      <c r="B247" s="43">
        <v>2941.65</v>
      </c>
      <c r="D247" s="43">
        <v>14324.9</v>
      </c>
      <c r="E247" s="16">
        <f t="shared" si="6"/>
        <v>1.3105044591190662E-3</v>
      </c>
      <c r="F247" s="16">
        <f t="shared" si="7"/>
        <v>-1.2572980499472641E-2</v>
      </c>
      <c r="G247" s="16"/>
    </row>
    <row r="248" spans="2:7" x14ac:dyDescent="0.35">
      <c r="B248" s="43">
        <v>2937.8</v>
      </c>
      <c r="D248" s="43">
        <v>14507.3</v>
      </c>
      <c r="E248" s="16">
        <f t="shared" si="6"/>
        <v>-8.7892437201612106E-3</v>
      </c>
      <c r="F248" s="16">
        <f t="shared" si="7"/>
        <v>-2.2754983125745309E-2</v>
      </c>
      <c r="G248" s="16"/>
    </row>
    <row r="249" spans="2:7" x14ac:dyDescent="0.35">
      <c r="B249" s="43">
        <v>2963.85</v>
      </c>
      <c r="D249" s="43">
        <v>14845.1</v>
      </c>
      <c r="E249" s="16">
        <f t="shared" si="6"/>
        <v>1.7246705107083926E-2</v>
      </c>
      <c r="F249" s="16">
        <f t="shared" si="7"/>
        <v>1.0510050576214791E-2</v>
      </c>
      <c r="G249" s="16"/>
    </row>
    <row r="250" spans="2:7" x14ac:dyDescent="0.35">
      <c r="B250" s="43">
        <v>2913.6</v>
      </c>
      <c r="D250" s="43">
        <v>14690.7</v>
      </c>
      <c r="E250" s="16">
        <f t="shared" si="6"/>
        <v>-1.4377050844017414E-2</v>
      </c>
      <c r="F250" s="16">
        <f t="shared" si="7"/>
        <v>-1.1881740861686807E-2</v>
      </c>
      <c r="G250" s="16"/>
    </row>
    <row r="251" spans="2:7" x14ac:dyDescent="0.35">
      <c r="B251" s="43">
        <v>2956.1</v>
      </c>
      <c r="D251" s="43">
        <v>14867.35</v>
      </c>
      <c r="E251" s="16">
        <f t="shared" si="6"/>
        <v>2.3970348817070164E-2</v>
      </c>
      <c r="F251" s="16">
        <f t="shared" si="7"/>
        <v>1.5682001393652056E-2</v>
      </c>
      <c r="G251" s="16"/>
    </row>
    <row r="252" spans="2:7" x14ac:dyDescent="0.35">
      <c r="B252" s="43">
        <v>2886.9</v>
      </c>
      <c r="D252" s="43">
        <v>14637.8</v>
      </c>
      <c r="E252" s="16">
        <f t="shared" si="6"/>
        <v>-3.6357970186451372E-4</v>
      </c>
      <c r="F252" s="16">
        <f t="shared" si="7"/>
        <v>-3.1123369768788489E-3</v>
      </c>
      <c r="G252" s="16"/>
    </row>
    <row r="253" spans="2:7" x14ac:dyDescent="0.35">
      <c r="B253" s="43">
        <v>2887.95</v>
      </c>
      <c r="D253" s="43">
        <v>14683.5</v>
      </c>
      <c r="E253" s="16">
        <f t="shared" si="6"/>
        <v>-1.82383736741909E-2</v>
      </c>
      <c r="F253" s="16">
        <f t="shared" si="7"/>
        <v>-9.147010098488062E-3</v>
      </c>
      <c r="G253" s="16"/>
    </row>
    <row r="254" spans="2:7" x14ac:dyDescent="0.35">
      <c r="B254" s="43">
        <v>2941.6</v>
      </c>
      <c r="D254" s="43">
        <v>14819.05</v>
      </c>
      <c r="E254" s="16">
        <f t="shared" si="6"/>
        <v>4.6448087431694152E-3</v>
      </c>
      <c r="F254" s="16">
        <f t="shared" si="7"/>
        <v>-3.6809692210464373E-3</v>
      </c>
      <c r="G254" s="16"/>
    </row>
    <row r="255" spans="2:7" x14ac:dyDescent="0.35">
      <c r="B255" s="43">
        <v>2928</v>
      </c>
      <c r="D255" s="43">
        <v>14873.8</v>
      </c>
      <c r="E255" s="16">
        <f t="shared" si="6"/>
        <v>5.1838374128874154E-3</v>
      </c>
      <c r="F255" s="16">
        <f t="shared" si="7"/>
        <v>2.6255742390384196E-3</v>
      </c>
      <c r="G255" s="16"/>
    </row>
    <row r="256" spans="2:7" x14ac:dyDescent="0.35">
      <c r="B256" s="43">
        <v>2912.9</v>
      </c>
      <c r="D256" s="43">
        <v>14834.85</v>
      </c>
      <c r="E256" s="16">
        <f t="shared" si="6"/>
        <v>4.5511647105272779E-2</v>
      </c>
      <c r="F256" s="16">
        <f t="shared" si="7"/>
        <v>3.6619196690611311E-2</v>
      </c>
      <c r="G256" s="16"/>
    </row>
    <row r="257" spans="2:7" x14ac:dyDescent="0.35">
      <c r="B257" s="43">
        <v>2786.1</v>
      </c>
      <c r="D257" s="43">
        <v>14310.8</v>
      </c>
      <c r="E257" s="16">
        <f t="shared" si="6"/>
        <v>-2.7658052244926457E-2</v>
      </c>
      <c r="F257" s="16">
        <f t="shared" si="7"/>
        <v>-1.337488279741883E-2</v>
      </c>
      <c r="G257" s="16"/>
    </row>
    <row r="258" spans="2:7" x14ac:dyDescent="0.35">
      <c r="B258" s="43">
        <v>2865.35</v>
      </c>
      <c r="D258" s="43">
        <v>14504.8</v>
      </c>
      <c r="E258" s="16">
        <f t="shared" si="6"/>
        <v>9.7814885329494672E-4</v>
      </c>
      <c r="F258" s="16">
        <f t="shared" si="7"/>
        <v>-5.256678862527453E-3</v>
      </c>
      <c r="G258" s="16"/>
    </row>
    <row r="259" spans="2:7" x14ac:dyDescent="0.35">
      <c r="B259" s="43">
        <v>2862.55</v>
      </c>
      <c r="D259" s="43">
        <v>14581.45</v>
      </c>
      <c r="E259" s="16">
        <f t="shared" si="6"/>
        <v>-1.1157745651760753E-2</v>
      </c>
      <c r="F259" s="16">
        <f t="shared" si="7"/>
        <v>-2.4901062741784497E-3</v>
      </c>
      <c r="G259" s="16"/>
    </row>
    <row r="260" spans="2:7" x14ac:dyDescent="0.35">
      <c r="B260" s="43">
        <v>2894.85</v>
      </c>
      <c r="D260" s="43">
        <v>14617.85</v>
      </c>
      <c r="E260" s="16">
        <f t="shared" ref="E260:E323" si="8">B260/B261-1</f>
        <v>3.9238211484266872E-2</v>
      </c>
      <c r="F260" s="16">
        <f t="shared" ref="F260:F323" si="9">D260/D261-1</f>
        <v>1.7995118197424054E-2</v>
      </c>
      <c r="G260" s="16"/>
    </row>
    <row r="261" spans="2:7" x14ac:dyDescent="0.35">
      <c r="B261" s="43">
        <v>2785.55</v>
      </c>
      <c r="D261" s="43">
        <v>14359.45</v>
      </c>
      <c r="E261" s="16">
        <f t="shared" si="8"/>
        <v>-1.3510642065375111E-2</v>
      </c>
      <c r="F261" s="16">
        <f t="shared" si="9"/>
        <v>4.4102011695252852E-3</v>
      </c>
      <c r="G261" s="16"/>
    </row>
    <row r="262" spans="2:7" x14ac:dyDescent="0.35">
      <c r="B262" s="43">
        <v>2823.7</v>
      </c>
      <c r="D262" s="43">
        <v>14296.4</v>
      </c>
      <c r="E262" s="16">
        <f t="shared" si="8"/>
        <v>-9.6276940883504025E-3</v>
      </c>
      <c r="F262" s="16">
        <f t="shared" si="9"/>
        <v>-7.6182741398638232E-3</v>
      </c>
      <c r="G262" s="16"/>
    </row>
    <row r="263" spans="2:7" x14ac:dyDescent="0.35">
      <c r="B263" s="43">
        <v>2851.15</v>
      </c>
      <c r="D263" s="43">
        <v>14406.15</v>
      </c>
      <c r="E263" s="16">
        <f t="shared" si="8"/>
        <v>-4.5041113109058895E-3</v>
      </c>
      <c r="F263" s="16">
        <f t="shared" si="9"/>
        <v>4.5184030792080332E-3</v>
      </c>
      <c r="G263" s="16"/>
    </row>
    <row r="264" spans="2:7" x14ac:dyDescent="0.35">
      <c r="B264" s="43">
        <v>2864.05</v>
      </c>
      <c r="D264" s="43">
        <v>14341.35</v>
      </c>
      <c r="E264" s="16">
        <f t="shared" si="8"/>
        <v>-1.7454748564349476E-4</v>
      </c>
      <c r="F264" s="16">
        <f t="shared" si="9"/>
        <v>-9.9171556782878811E-3</v>
      </c>
      <c r="G264" s="16"/>
    </row>
    <row r="265" spans="2:7" x14ac:dyDescent="0.35">
      <c r="B265" s="43">
        <v>2864.55</v>
      </c>
      <c r="D265" s="43">
        <v>14485</v>
      </c>
      <c r="E265" s="16">
        <f t="shared" si="8"/>
        <v>-1.4093959731543593E-2</v>
      </c>
      <c r="F265" s="16">
        <f t="shared" si="9"/>
        <v>-1.1468602099904079E-2</v>
      </c>
      <c r="G265" s="16"/>
    </row>
    <row r="266" spans="2:7" x14ac:dyDescent="0.35">
      <c r="B266" s="43">
        <v>2905.5</v>
      </c>
      <c r="D266" s="43">
        <v>14653.05</v>
      </c>
      <c r="E266" s="16">
        <f t="shared" si="8"/>
        <v>-7.0909867577958474E-3</v>
      </c>
      <c r="F266" s="16">
        <f t="shared" si="9"/>
        <v>-1.4228483203326037E-2</v>
      </c>
      <c r="G266" s="16"/>
    </row>
    <row r="267" spans="2:7" x14ac:dyDescent="0.35">
      <c r="B267" s="43">
        <v>2926.25</v>
      </c>
      <c r="D267" s="43">
        <v>14864.55</v>
      </c>
      <c r="E267" s="16">
        <f t="shared" si="8"/>
        <v>2.3128561938393855E-2</v>
      </c>
      <c r="F267" s="16">
        <f t="shared" si="9"/>
        <v>-2.0376101887223941E-3</v>
      </c>
      <c r="G267" s="16"/>
    </row>
    <row r="268" spans="2:7" x14ac:dyDescent="0.35">
      <c r="B268" s="43">
        <v>2860.1</v>
      </c>
      <c r="D268" s="43">
        <v>14894.9</v>
      </c>
      <c r="E268" s="16">
        <f t="shared" si="8"/>
        <v>1.4525654895979123E-2</v>
      </c>
      <c r="F268" s="16">
        <f t="shared" si="9"/>
        <v>1.8030086596359851E-2</v>
      </c>
      <c r="G268" s="16"/>
    </row>
    <row r="269" spans="2:7" x14ac:dyDescent="0.35">
      <c r="B269" s="43">
        <v>2819.15</v>
      </c>
      <c r="D269" s="43">
        <v>14631.1</v>
      </c>
      <c r="E269" s="16">
        <f t="shared" si="8"/>
        <v>9.2723529938243399E-3</v>
      </c>
      <c r="F269" s="16">
        <f t="shared" si="9"/>
        <v>-2.0841661456250105E-4</v>
      </c>
      <c r="G269" s="16"/>
    </row>
    <row r="270" spans="2:7" x14ac:dyDescent="0.35">
      <c r="B270" s="43">
        <v>2793.25</v>
      </c>
      <c r="D270" s="43">
        <v>14634.15</v>
      </c>
      <c r="E270" s="16">
        <f t="shared" si="8"/>
        <v>5.9421986134868821E-3</v>
      </c>
      <c r="F270" s="16">
        <f t="shared" si="9"/>
        <v>9.4953954402785534E-3</v>
      </c>
      <c r="G270" s="16"/>
    </row>
    <row r="271" spans="2:7" x14ac:dyDescent="0.35">
      <c r="B271" s="43">
        <v>2776.75</v>
      </c>
      <c r="D271" s="43">
        <v>14496.5</v>
      </c>
      <c r="E271" s="16">
        <f t="shared" si="8"/>
        <v>-4.1065920665661615E-3</v>
      </c>
      <c r="F271" s="16">
        <f t="shared" si="9"/>
        <v>-8.301494405812071E-3</v>
      </c>
      <c r="G271" s="16"/>
    </row>
    <row r="272" spans="2:7" x14ac:dyDescent="0.35">
      <c r="B272" s="43">
        <v>2788.2</v>
      </c>
      <c r="D272" s="43">
        <v>14617.85</v>
      </c>
      <c r="E272" s="16">
        <f t="shared" si="8"/>
        <v>-4.2940994748223771E-2</v>
      </c>
      <c r="F272" s="16">
        <f t="shared" si="9"/>
        <v>-7.263256546778174E-3</v>
      </c>
      <c r="G272" s="16"/>
    </row>
    <row r="273" spans="2:7" x14ac:dyDescent="0.35">
      <c r="B273" s="43">
        <v>2913.3</v>
      </c>
      <c r="D273" s="43">
        <v>14724.8</v>
      </c>
      <c r="E273" s="16">
        <f t="shared" si="8"/>
        <v>1.8351510067114107E-2</v>
      </c>
      <c r="F273" s="16">
        <f t="shared" si="9"/>
        <v>-6.6348920438638048E-3</v>
      </c>
      <c r="G273" s="16"/>
    </row>
    <row r="274" spans="2:7" x14ac:dyDescent="0.35">
      <c r="B274" s="43">
        <v>2860.8</v>
      </c>
      <c r="D274" s="43">
        <v>14823.15</v>
      </c>
      <c r="E274" s="16">
        <f t="shared" si="8"/>
        <v>8.638014314423792E-3</v>
      </c>
      <c r="F274" s="16">
        <f t="shared" si="9"/>
        <v>-7.9773261903248738E-3</v>
      </c>
      <c r="G274" s="16"/>
    </row>
    <row r="275" spans="2:7" x14ac:dyDescent="0.35">
      <c r="B275" s="43">
        <v>2836.3</v>
      </c>
      <c r="D275" s="43">
        <v>14942.35</v>
      </c>
      <c r="E275" s="16">
        <f t="shared" si="8"/>
        <v>-7.2225060334341062E-4</v>
      </c>
      <c r="F275" s="16">
        <f t="shared" si="9"/>
        <v>6.168038651246599E-3</v>
      </c>
      <c r="G275" s="16"/>
    </row>
    <row r="276" spans="2:7" x14ac:dyDescent="0.35">
      <c r="B276" s="43">
        <v>2838.35</v>
      </c>
      <c r="D276" s="43">
        <v>14850.75</v>
      </c>
      <c r="E276" s="16">
        <f t="shared" si="8"/>
        <v>-6.3376934316861089E-4</v>
      </c>
      <c r="F276" s="16">
        <f t="shared" si="9"/>
        <v>1.0495696254210207E-2</v>
      </c>
      <c r="G276" s="16"/>
    </row>
    <row r="277" spans="2:7" x14ac:dyDescent="0.35">
      <c r="B277" s="43">
        <v>2840.15</v>
      </c>
      <c r="D277" s="43">
        <v>14696.5</v>
      </c>
      <c r="E277" s="16">
        <f t="shared" si="8"/>
        <v>9.8849716429321166E-3</v>
      </c>
      <c r="F277" s="16">
        <f t="shared" si="9"/>
        <v>1.2740328932130396E-3</v>
      </c>
      <c r="G277" s="16"/>
    </row>
    <row r="278" spans="2:7" x14ac:dyDescent="0.35">
      <c r="B278" s="43">
        <v>2812.35</v>
      </c>
      <c r="D278" s="43">
        <v>14677.8</v>
      </c>
      <c r="E278" s="16">
        <f t="shared" si="8"/>
        <v>-1.4852438917593469E-2</v>
      </c>
      <c r="F278" s="16">
        <f t="shared" si="9"/>
        <v>-1.6440898871887044E-2</v>
      </c>
      <c r="G278" s="16"/>
    </row>
    <row r="279" spans="2:7" x14ac:dyDescent="0.35">
      <c r="B279" s="43">
        <v>2854.75</v>
      </c>
      <c r="D279" s="43">
        <v>14923.15</v>
      </c>
      <c r="E279" s="16">
        <f t="shared" si="8"/>
        <v>-1.7956965204079856E-2</v>
      </c>
      <c r="F279" s="16">
        <f t="shared" si="9"/>
        <v>-1.2241777589505065E-2</v>
      </c>
      <c r="G279" s="16"/>
    </row>
    <row r="280" spans="2:7" x14ac:dyDescent="0.35">
      <c r="B280" s="43">
        <v>2906.95</v>
      </c>
      <c r="D280" s="43">
        <v>15108.1</v>
      </c>
      <c r="E280" s="16">
        <f t="shared" si="8"/>
        <v>-2.7615780445969795E-3</v>
      </c>
      <c r="F280" s="16">
        <f t="shared" si="9"/>
        <v>5.186242319604295E-3</v>
      </c>
      <c r="G280" s="16"/>
    </row>
    <row r="281" spans="2:7" x14ac:dyDescent="0.35">
      <c r="B281" s="43">
        <v>2915</v>
      </c>
      <c r="D281" s="43">
        <v>15030.15</v>
      </c>
      <c r="E281" s="16">
        <f t="shared" si="8"/>
        <v>1.7416495061254533E-2</v>
      </c>
      <c r="F281" s="16">
        <f t="shared" si="9"/>
        <v>8.3254785808446474E-3</v>
      </c>
      <c r="G281" s="16"/>
    </row>
    <row r="282" spans="2:7" x14ac:dyDescent="0.35">
      <c r="B282" s="43">
        <v>2865.1</v>
      </c>
      <c r="D282" s="43">
        <v>14906.05</v>
      </c>
      <c r="E282" s="16">
        <f t="shared" si="8"/>
        <v>-6.69116627374855E-3</v>
      </c>
      <c r="F282" s="16">
        <f t="shared" si="9"/>
        <v>-1.7742647591810323E-2</v>
      </c>
      <c r="G282" s="16"/>
    </row>
    <row r="283" spans="2:7" x14ac:dyDescent="0.35">
      <c r="B283" s="43">
        <v>2884.4</v>
      </c>
      <c r="D283" s="43">
        <v>15175.3</v>
      </c>
      <c r="E283" s="16">
        <f t="shared" si="8"/>
        <v>-5.5336240928131053E-3</v>
      </c>
      <c r="F283" s="16">
        <f t="shared" si="9"/>
        <v>-1.473907235963412E-3</v>
      </c>
      <c r="G283" s="16"/>
    </row>
    <row r="284" spans="2:7" x14ac:dyDescent="0.35">
      <c r="B284" s="43">
        <v>2900.45</v>
      </c>
      <c r="D284" s="43">
        <v>15197.7</v>
      </c>
      <c r="E284" s="16">
        <f t="shared" si="8"/>
        <v>-9.9839574017817068E-3</v>
      </c>
      <c r="F284" s="16">
        <f t="shared" si="9"/>
        <v>-7.0684389270436743E-4</v>
      </c>
      <c r="G284" s="16"/>
    </row>
    <row r="285" spans="2:7" x14ac:dyDescent="0.35">
      <c r="B285" s="43">
        <v>2929.7</v>
      </c>
      <c r="D285" s="43">
        <v>15208.45</v>
      </c>
      <c r="E285" s="16">
        <f t="shared" si="8"/>
        <v>-1.1805578979323328E-2</v>
      </c>
      <c r="F285" s="16">
        <f t="shared" si="9"/>
        <v>-6.0778553666482882E-3</v>
      </c>
      <c r="G285" s="16"/>
    </row>
    <row r="286" spans="2:7" x14ac:dyDescent="0.35">
      <c r="B286" s="43">
        <v>2964.7</v>
      </c>
      <c r="D286" s="43">
        <v>15301.45</v>
      </c>
      <c r="E286" s="16">
        <f t="shared" si="8"/>
        <v>-8.892454785544901E-3</v>
      </c>
      <c r="F286" s="16">
        <f t="shared" si="9"/>
        <v>-2.3732139771871497E-3</v>
      </c>
      <c r="G286" s="16"/>
    </row>
    <row r="287" spans="2:7" x14ac:dyDescent="0.35">
      <c r="B287" s="43">
        <v>2991.3</v>
      </c>
      <c r="D287" s="43">
        <v>15337.85</v>
      </c>
      <c r="E287" s="16">
        <f t="shared" si="8"/>
        <v>-8.3568718557303079E-5</v>
      </c>
      <c r="F287" s="16">
        <f t="shared" si="9"/>
        <v>-6.3359819638304504E-3</v>
      </c>
      <c r="G287" s="16"/>
    </row>
    <row r="288" spans="2:7" x14ac:dyDescent="0.35">
      <c r="B288" s="43">
        <v>2991.55</v>
      </c>
      <c r="D288" s="43">
        <v>15435.65</v>
      </c>
      <c r="E288" s="16">
        <f t="shared" si="8"/>
        <v>-5.3034081463008143E-3</v>
      </c>
      <c r="F288" s="16">
        <f t="shared" si="9"/>
        <v>-9.4431039351079438E-3</v>
      </c>
      <c r="G288" s="16"/>
    </row>
    <row r="289" spans="2:7" x14ac:dyDescent="0.35">
      <c r="B289" s="43">
        <v>3007.5</v>
      </c>
      <c r="D289" s="43">
        <v>15582.8</v>
      </c>
      <c r="E289" s="16">
        <f t="shared" si="8"/>
        <v>1.0330057949105464E-2</v>
      </c>
      <c r="F289" s="16">
        <f t="shared" si="9"/>
        <v>5.1043830277652802E-4</v>
      </c>
      <c r="G289" s="16"/>
    </row>
    <row r="290" spans="2:7" x14ac:dyDescent="0.35">
      <c r="B290" s="43">
        <v>2976.75</v>
      </c>
      <c r="D290" s="43">
        <v>15574.85</v>
      </c>
      <c r="E290" s="16">
        <f t="shared" si="8"/>
        <v>1.3960842360223324E-3</v>
      </c>
      <c r="F290" s="16">
        <f t="shared" si="9"/>
        <v>-8.6670689898760145E-5</v>
      </c>
      <c r="G290" s="16"/>
    </row>
    <row r="291" spans="2:7" x14ac:dyDescent="0.35">
      <c r="B291" s="43">
        <v>2972.6</v>
      </c>
      <c r="D291" s="43">
        <v>15576.2</v>
      </c>
      <c r="E291" s="16">
        <f t="shared" si="8"/>
        <v>-1.1883590672627897E-2</v>
      </c>
      <c r="F291" s="16">
        <f t="shared" si="9"/>
        <v>-7.2751723192917561E-3</v>
      </c>
      <c r="G291" s="16"/>
    </row>
    <row r="292" spans="2:7" x14ac:dyDescent="0.35">
      <c r="B292" s="43">
        <v>3008.35</v>
      </c>
      <c r="D292" s="43">
        <v>15690.35</v>
      </c>
      <c r="E292" s="16">
        <f t="shared" si="8"/>
        <v>-1.3138039627345499E-2</v>
      </c>
      <c r="F292" s="16">
        <f t="shared" si="9"/>
        <v>1.2826853432459373E-3</v>
      </c>
      <c r="G292" s="16"/>
    </row>
    <row r="293" spans="2:7" x14ac:dyDescent="0.35">
      <c r="B293" s="43">
        <v>3048.4</v>
      </c>
      <c r="D293" s="43">
        <v>15670.25</v>
      </c>
      <c r="E293" s="16">
        <f t="shared" si="8"/>
        <v>-1.2613645671225582E-3</v>
      </c>
      <c r="F293" s="16">
        <f t="shared" si="9"/>
        <v>-5.1677125888398567E-3</v>
      </c>
      <c r="G293" s="16"/>
    </row>
    <row r="294" spans="2:7" x14ac:dyDescent="0.35">
      <c r="B294" s="43">
        <v>3052.25</v>
      </c>
      <c r="D294" s="43">
        <v>15751.65</v>
      </c>
      <c r="E294" s="16">
        <f t="shared" si="8"/>
        <v>-1.2107527937301743E-3</v>
      </c>
      <c r="F294" s="16">
        <f t="shared" si="9"/>
        <v>7.3379457563804706E-4</v>
      </c>
      <c r="G294" s="16"/>
    </row>
    <row r="295" spans="2:7" x14ac:dyDescent="0.35">
      <c r="B295" s="43">
        <v>3055.95</v>
      </c>
      <c r="D295" s="43">
        <v>15740.1</v>
      </c>
      <c r="E295" s="16">
        <f t="shared" si="8"/>
        <v>1.0732594675045393E-2</v>
      </c>
      <c r="F295" s="16">
        <f t="shared" si="9"/>
        <v>6.699562209992127E-3</v>
      </c>
      <c r="G295" s="16"/>
    </row>
    <row r="296" spans="2:7" x14ac:dyDescent="0.35">
      <c r="B296" s="43">
        <v>3023.5</v>
      </c>
      <c r="D296" s="43">
        <v>15635.35</v>
      </c>
      <c r="E296" s="16">
        <f t="shared" si="8"/>
        <v>4.8188767032235624E-3</v>
      </c>
      <c r="F296" s="16">
        <f t="shared" si="9"/>
        <v>-6.5066480278311856E-3</v>
      </c>
      <c r="G296" s="16"/>
    </row>
    <row r="297" spans="2:7" x14ac:dyDescent="0.35">
      <c r="B297" s="43">
        <v>3009</v>
      </c>
      <c r="D297" s="43">
        <v>15737.75</v>
      </c>
      <c r="E297" s="16">
        <f t="shared" si="8"/>
        <v>1.5477557541565545E-3</v>
      </c>
      <c r="F297" s="16">
        <f t="shared" si="9"/>
        <v>-3.8988945747768788E-3</v>
      </c>
      <c r="G297" s="16"/>
    </row>
    <row r="298" spans="2:7" x14ac:dyDescent="0.35">
      <c r="B298" s="43">
        <v>3004.35</v>
      </c>
      <c r="D298" s="43">
        <v>15799.35</v>
      </c>
      <c r="E298" s="16">
        <f t="shared" si="8"/>
        <v>6.2632927503223357E-3</v>
      </c>
      <c r="F298" s="16">
        <f t="shared" si="9"/>
        <v>-7.905463307582572E-4</v>
      </c>
      <c r="G298" s="16"/>
    </row>
    <row r="299" spans="2:7" x14ac:dyDescent="0.35">
      <c r="B299" s="43">
        <v>2985.65</v>
      </c>
      <c r="D299" s="43">
        <v>15811.85</v>
      </c>
      <c r="E299" s="16">
        <f t="shared" si="8"/>
        <v>-7.1166093014749521E-3</v>
      </c>
      <c r="F299" s="16">
        <f t="shared" si="9"/>
        <v>-3.6170581470453822E-3</v>
      </c>
      <c r="G299" s="16"/>
    </row>
    <row r="300" spans="2:7" x14ac:dyDescent="0.35">
      <c r="B300" s="43">
        <v>3007.05</v>
      </c>
      <c r="D300" s="43">
        <v>15869.25</v>
      </c>
      <c r="E300" s="16">
        <f t="shared" si="8"/>
        <v>1.0637225247025706E-2</v>
      </c>
      <c r="F300" s="16">
        <f t="shared" si="9"/>
        <v>6.4499557635777638E-3</v>
      </c>
      <c r="G300" s="16"/>
    </row>
    <row r="301" spans="2:7" x14ac:dyDescent="0.35">
      <c r="B301" s="43">
        <v>2975.4</v>
      </c>
      <c r="D301" s="43">
        <v>15767.55</v>
      </c>
      <c r="E301" s="16">
        <f t="shared" si="8"/>
        <v>2.1035654232867795E-2</v>
      </c>
      <c r="F301" s="16">
        <f t="shared" si="9"/>
        <v>4.8529767898339848E-3</v>
      </c>
      <c r="G301" s="16"/>
    </row>
    <row r="302" spans="2:7" x14ac:dyDescent="0.35">
      <c r="B302" s="43">
        <v>2914.1</v>
      </c>
      <c r="D302" s="43">
        <v>15691.4</v>
      </c>
      <c r="E302" s="16">
        <f t="shared" si="8"/>
        <v>7.8682968163661382E-3</v>
      </c>
      <c r="F302" s="16">
        <f t="shared" si="9"/>
        <v>5.1328319523569199E-4</v>
      </c>
      <c r="G302" s="16"/>
    </row>
    <row r="303" spans="2:7" x14ac:dyDescent="0.35">
      <c r="B303" s="43">
        <v>2891.35</v>
      </c>
      <c r="D303" s="43">
        <v>15683.35</v>
      </c>
      <c r="E303" s="16">
        <f t="shared" si="8"/>
        <v>-1.2090436464756715E-3</v>
      </c>
      <c r="F303" s="16">
        <f t="shared" si="9"/>
        <v>-4.0104150128599247E-3</v>
      </c>
      <c r="G303" s="16"/>
    </row>
    <row r="304" spans="2:7" x14ac:dyDescent="0.35">
      <c r="B304" s="43">
        <v>2894.85</v>
      </c>
      <c r="D304" s="43">
        <v>15746.5</v>
      </c>
      <c r="E304" s="16">
        <f t="shared" si="8"/>
        <v>-4.1966942433051546E-3</v>
      </c>
      <c r="F304" s="16">
        <f t="shared" si="9"/>
        <v>-1.6642627316099112E-3</v>
      </c>
      <c r="G304" s="16"/>
    </row>
    <row r="305" spans="2:7" x14ac:dyDescent="0.35">
      <c r="B305" s="43">
        <v>2907.05</v>
      </c>
      <c r="D305" s="43">
        <v>15772.75</v>
      </c>
      <c r="E305" s="16">
        <f t="shared" si="8"/>
        <v>-7.2737206959549994E-3</v>
      </c>
      <c r="F305" s="16">
        <f t="shared" si="9"/>
        <v>5.4695144690330988E-3</v>
      </c>
      <c r="G305" s="16"/>
    </row>
    <row r="306" spans="2:7" x14ac:dyDescent="0.35">
      <c r="B306" s="43">
        <v>2928.35</v>
      </c>
      <c r="D306" s="43">
        <v>15686.95</v>
      </c>
      <c r="E306" s="16">
        <f t="shared" si="8"/>
        <v>7.3616677273431463E-3</v>
      </c>
      <c r="F306" s="16">
        <f t="shared" si="9"/>
        <v>-6.5545947075605904E-3</v>
      </c>
      <c r="G306" s="16"/>
    </row>
    <row r="307" spans="2:7" x14ac:dyDescent="0.35">
      <c r="B307" s="43">
        <v>2906.95</v>
      </c>
      <c r="D307" s="43">
        <v>15790.45</v>
      </c>
      <c r="E307" s="16">
        <f t="shared" si="8"/>
        <v>-1.0972373434948279E-2</v>
      </c>
      <c r="F307" s="16">
        <f t="shared" si="9"/>
        <v>-4.4072167385965644E-3</v>
      </c>
      <c r="G307" s="16"/>
    </row>
    <row r="308" spans="2:7" x14ac:dyDescent="0.35">
      <c r="B308" s="43">
        <v>2939.2</v>
      </c>
      <c r="D308" s="43">
        <v>15860.35</v>
      </c>
      <c r="E308" s="16">
        <f t="shared" si="8"/>
        <v>-1.511728636217069E-3</v>
      </c>
      <c r="F308" s="16">
        <f t="shared" si="9"/>
        <v>2.8865549140988378E-3</v>
      </c>
      <c r="G308" s="16"/>
    </row>
    <row r="309" spans="2:7" x14ac:dyDescent="0.35">
      <c r="B309" s="43">
        <v>2943.65</v>
      </c>
      <c r="D309" s="43">
        <v>15814.7</v>
      </c>
      <c r="E309" s="16">
        <f t="shared" si="8"/>
        <v>5.5166524338172707E-3</v>
      </c>
      <c r="F309" s="16">
        <f t="shared" si="9"/>
        <v>4.206763205267805E-3</v>
      </c>
      <c r="G309" s="16"/>
    </row>
    <row r="310" spans="2:7" x14ac:dyDescent="0.35">
      <c r="B310" s="43">
        <v>2927.5</v>
      </c>
      <c r="D310" s="43">
        <v>15748.45</v>
      </c>
      <c r="E310" s="16">
        <f t="shared" si="8"/>
        <v>8.578515813408627E-3</v>
      </c>
      <c r="F310" s="16">
        <f t="shared" si="9"/>
        <v>1.7142130203862127E-3</v>
      </c>
      <c r="G310" s="16"/>
    </row>
    <row r="311" spans="2:7" x14ac:dyDescent="0.35">
      <c r="B311" s="43">
        <v>2902.6</v>
      </c>
      <c r="D311" s="43">
        <v>15721.5</v>
      </c>
      <c r="E311" s="16">
        <f t="shared" si="8"/>
        <v>-6.8092386655260739E-3</v>
      </c>
      <c r="F311" s="16">
        <f t="shared" si="9"/>
        <v>2.6466836734693189E-3</v>
      </c>
      <c r="G311" s="16"/>
    </row>
    <row r="312" spans="2:7" x14ac:dyDescent="0.35">
      <c r="B312" s="43">
        <v>2922.5</v>
      </c>
      <c r="D312" s="43">
        <v>15680</v>
      </c>
      <c r="E312" s="16">
        <f t="shared" si="8"/>
        <v>9.0758086888031997E-4</v>
      </c>
      <c r="F312" s="16">
        <f t="shared" si="9"/>
        <v>-2.684102733714111E-3</v>
      </c>
      <c r="G312" s="16"/>
    </row>
    <row r="313" spans="2:7" x14ac:dyDescent="0.35">
      <c r="B313" s="43">
        <v>2919.85</v>
      </c>
      <c r="D313" s="43">
        <v>15722.2</v>
      </c>
      <c r="E313" s="16">
        <f t="shared" si="8"/>
        <v>-6.194584843688955E-3</v>
      </c>
      <c r="F313" s="16">
        <f t="shared" si="9"/>
        <v>-7.0827031106422966E-3</v>
      </c>
      <c r="G313" s="16"/>
    </row>
    <row r="314" spans="2:7" x14ac:dyDescent="0.35">
      <c r="B314" s="43">
        <v>2938.05</v>
      </c>
      <c r="D314" s="43">
        <v>15834.35</v>
      </c>
      <c r="E314" s="16">
        <f t="shared" si="8"/>
        <v>6.4400102766122291E-3</v>
      </c>
      <c r="F314" s="16">
        <f t="shared" si="9"/>
        <v>1.0178117048347257E-3</v>
      </c>
      <c r="G314" s="16"/>
    </row>
    <row r="315" spans="2:7" x14ac:dyDescent="0.35">
      <c r="B315" s="43">
        <v>2919.25</v>
      </c>
      <c r="D315" s="43">
        <v>15818.25</v>
      </c>
      <c r="E315" s="16">
        <f t="shared" si="8"/>
        <v>2.0251600391303359E-3</v>
      </c>
      <c r="F315" s="16">
        <f t="shared" si="9"/>
        <v>-3.8665839612334052E-3</v>
      </c>
      <c r="G315" s="16"/>
    </row>
    <row r="316" spans="2:7" x14ac:dyDescent="0.35">
      <c r="B316" s="43">
        <v>2913.35</v>
      </c>
      <c r="D316" s="43">
        <v>15879.65</v>
      </c>
      <c r="E316" s="16">
        <f t="shared" si="8"/>
        <v>4.4649013929112247E-3</v>
      </c>
      <c r="F316" s="16">
        <f t="shared" si="9"/>
        <v>9.6484591077004023E-3</v>
      </c>
      <c r="G316" s="16"/>
    </row>
    <row r="317" spans="2:7" x14ac:dyDescent="0.35">
      <c r="B317" s="43">
        <v>2900.4</v>
      </c>
      <c r="D317" s="43">
        <v>15727.9</v>
      </c>
      <c r="E317" s="16">
        <f t="shared" si="8"/>
        <v>1.2427506213752437E-3</v>
      </c>
      <c r="F317" s="16">
        <f t="shared" si="9"/>
        <v>2.4283292330049555E-3</v>
      </c>
      <c r="G317" s="16"/>
    </row>
    <row r="318" spans="2:7" x14ac:dyDescent="0.35">
      <c r="B318" s="43">
        <v>2896.8</v>
      </c>
      <c r="D318" s="43">
        <v>15689.8</v>
      </c>
      <c r="E318" s="16">
        <f t="shared" si="8"/>
        <v>-4.8305845007234893E-4</v>
      </c>
      <c r="F318" s="16">
        <f t="shared" si="9"/>
        <v>-1.7842804888934527E-4</v>
      </c>
      <c r="G318" s="16"/>
    </row>
    <row r="319" spans="2:7" x14ac:dyDescent="0.35">
      <c r="B319" s="43">
        <v>2898.2</v>
      </c>
      <c r="D319" s="43">
        <v>15692.6</v>
      </c>
      <c r="E319" s="16">
        <f t="shared" si="8"/>
        <v>-2.0316104817327263E-3</v>
      </c>
      <c r="F319" s="16">
        <f t="shared" si="9"/>
        <v>-7.5731943702233018E-3</v>
      </c>
      <c r="G319" s="16"/>
    </row>
    <row r="320" spans="2:7" x14ac:dyDescent="0.35">
      <c r="B320" s="43">
        <v>2904.1</v>
      </c>
      <c r="D320" s="43">
        <v>15812.35</v>
      </c>
      <c r="E320" s="16">
        <f t="shared" si="8"/>
        <v>1.1721308649637052E-3</v>
      </c>
      <c r="F320" s="16">
        <f t="shared" si="9"/>
        <v>-2.623951759656129E-3</v>
      </c>
      <c r="G320" s="16"/>
    </row>
    <row r="321" spans="2:7" x14ac:dyDescent="0.35">
      <c r="B321" s="43">
        <v>2900.7</v>
      </c>
      <c r="D321" s="43">
        <v>15853.95</v>
      </c>
      <c r="E321" s="16">
        <f t="shared" si="8"/>
        <v>5.5639332328010216E-3</v>
      </c>
      <c r="F321" s="16">
        <f t="shared" si="9"/>
        <v>-4.4115245977820461E-3</v>
      </c>
      <c r="G321" s="16"/>
    </row>
    <row r="322" spans="2:7" x14ac:dyDescent="0.35">
      <c r="B322" s="43">
        <v>2884.65</v>
      </c>
      <c r="D322" s="43">
        <v>15924.2</v>
      </c>
      <c r="E322" s="16">
        <f t="shared" si="8"/>
        <v>-6.90260612111393E-3</v>
      </c>
      <c r="F322" s="16">
        <f t="shared" si="9"/>
        <v>5.0240526520806128E-5</v>
      </c>
      <c r="G322" s="16"/>
    </row>
    <row r="323" spans="2:7" x14ac:dyDescent="0.35">
      <c r="B323" s="43">
        <v>2904.7</v>
      </c>
      <c r="D323" s="43">
        <v>15923.4</v>
      </c>
      <c r="E323" s="16">
        <f t="shared" si="8"/>
        <v>6.0960825742093494E-3</v>
      </c>
      <c r="F323" s="16">
        <f t="shared" si="9"/>
        <v>1.0855488687438131E-2</v>
      </c>
      <c r="G323" s="16"/>
    </row>
    <row r="324" spans="2:7" x14ac:dyDescent="0.35">
      <c r="B324" s="43">
        <v>2887.1</v>
      </c>
      <c r="D324" s="43">
        <v>15752.4</v>
      </c>
      <c r="E324" s="16">
        <f t="shared" ref="E324:E387" si="10">B324/B325-1</f>
        <v>1.6942585417400569E-2</v>
      </c>
      <c r="F324" s="16">
        <f t="shared" ref="F324:F387" si="11">D324/D325-1</f>
        <v>7.695703072523763E-3</v>
      </c>
      <c r="G324" s="16"/>
    </row>
    <row r="325" spans="2:7" x14ac:dyDescent="0.35">
      <c r="B325" s="43">
        <v>2839</v>
      </c>
      <c r="D325" s="43">
        <v>15632.1</v>
      </c>
      <c r="E325" s="16">
        <f t="shared" si="10"/>
        <v>2.6424733550611812E-4</v>
      </c>
      <c r="F325" s="16">
        <f t="shared" si="11"/>
        <v>-1.2130270063605675E-2</v>
      </c>
      <c r="G325" s="16"/>
    </row>
    <row r="326" spans="2:7" x14ac:dyDescent="0.35">
      <c r="B326" s="43">
        <v>2838.25</v>
      </c>
      <c r="D326" s="43">
        <v>15824.05</v>
      </c>
      <c r="E326" s="16">
        <f t="shared" si="10"/>
        <v>1.1463844797177103E-3</v>
      </c>
      <c r="F326" s="16">
        <f t="shared" si="11"/>
        <v>-2.0181571072240834E-3</v>
      </c>
      <c r="G326" s="16"/>
    </row>
    <row r="327" spans="2:7" x14ac:dyDescent="0.35">
      <c r="B327" s="43">
        <v>2835</v>
      </c>
      <c r="D327" s="43">
        <v>15856.05</v>
      </c>
      <c r="E327" s="16">
        <f t="shared" si="10"/>
        <v>8.8070456365092475E-3</v>
      </c>
      <c r="F327" s="16">
        <f t="shared" si="11"/>
        <v>1.9969098452077283E-3</v>
      </c>
      <c r="G327" s="16"/>
    </row>
    <row r="328" spans="2:7" x14ac:dyDescent="0.35">
      <c r="B328" s="43">
        <v>2810.25</v>
      </c>
      <c r="D328" s="43">
        <v>15824.45</v>
      </c>
      <c r="E328" s="16">
        <f t="shared" si="10"/>
        <v>5.8700359718668604E-3</v>
      </c>
      <c r="F328" s="16">
        <f t="shared" si="11"/>
        <v>4.9534974549818589E-3</v>
      </c>
      <c r="G328" s="16"/>
    </row>
    <row r="329" spans="2:7" x14ac:dyDescent="0.35">
      <c r="B329" s="43">
        <v>2793.85</v>
      </c>
      <c r="D329" s="43">
        <v>15746.45</v>
      </c>
      <c r="E329" s="16">
        <f t="shared" si="10"/>
        <v>5.8141627965584419E-3</v>
      </c>
      <c r="F329" s="16">
        <f t="shared" si="11"/>
        <v>2.3584605395496894E-3</v>
      </c>
      <c r="G329" s="16"/>
    </row>
    <row r="330" spans="2:7" x14ac:dyDescent="0.35">
      <c r="B330" s="43">
        <v>2777.7</v>
      </c>
      <c r="D330" s="43">
        <v>15709.4</v>
      </c>
      <c r="E330" s="16">
        <f t="shared" si="10"/>
        <v>1.1654587172670094E-2</v>
      </c>
      <c r="F330" s="16">
        <f t="shared" si="11"/>
        <v>-4.3762219989923468E-3</v>
      </c>
      <c r="G330" s="16"/>
    </row>
    <row r="331" spans="2:7" x14ac:dyDescent="0.35">
      <c r="B331" s="43">
        <v>2745.7</v>
      </c>
      <c r="D331" s="43">
        <v>15778.45</v>
      </c>
      <c r="E331" s="16">
        <f t="shared" si="10"/>
        <v>-6.3691962508596323E-3</v>
      </c>
      <c r="F331" s="16">
        <f t="shared" si="11"/>
        <v>9.7696828976645556E-4</v>
      </c>
      <c r="G331" s="16"/>
    </row>
    <row r="332" spans="2:7" x14ac:dyDescent="0.35">
      <c r="B332" s="43">
        <v>2763.3</v>
      </c>
      <c r="D332" s="43">
        <v>15763.05</v>
      </c>
      <c r="E332" s="16">
        <f t="shared" si="10"/>
        <v>-6.7931852490833444E-3</v>
      </c>
      <c r="F332" s="16">
        <f t="shared" si="11"/>
        <v>-7.6864241130867317E-3</v>
      </c>
      <c r="G332" s="16"/>
    </row>
    <row r="333" spans="2:7" x14ac:dyDescent="0.35">
      <c r="B333" s="43">
        <v>2782.2</v>
      </c>
      <c r="D333" s="43">
        <v>15885.15</v>
      </c>
      <c r="E333" s="16">
        <f t="shared" si="10"/>
        <v>-1.3089283813983221E-2</v>
      </c>
      <c r="F333" s="16">
        <f t="shared" si="11"/>
        <v>-1.5225578475892343E-2</v>
      </c>
      <c r="G333" s="16"/>
    </row>
    <row r="334" spans="2:7" x14ac:dyDescent="0.35">
      <c r="B334" s="43">
        <v>2819.1</v>
      </c>
      <c r="D334" s="43">
        <v>16130.75</v>
      </c>
      <c r="E334" s="16">
        <f t="shared" si="10"/>
        <v>4.8476207449652531E-3</v>
      </c>
      <c r="F334" s="16">
        <f t="shared" si="11"/>
        <v>-7.8757349865918869E-3</v>
      </c>
      <c r="G334" s="16"/>
    </row>
    <row r="335" spans="2:7" x14ac:dyDescent="0.35">
      <c r="B335" s="43">
        <v>2805.5</v>
      </c>
      <c r="D335" s="43">
        <v>16258.8</v>
      </c>
      <c r="E335" s="16">
        <f t="shared" si="10"/>
        <v>-4.7183198524195502E-3</v>
      </c>
      <c r="F335" s="16">
        <f t="shared" si="11"/>
        <v>-2.1970468744246796E-3</v>
      </c>
      <c r="G335" s="16"/>
    </row>
    <row r="336" spans="2:7" x14ac:dyDescent="0.35">
      <c r="B336" s="43">
        <v>2818.8</v>
      </c>
      <c r="D336" s="43">
        <v>16294.6</v>
      </c>
      <c r="E336" s="16">
        <f t="shared" si="10"/>
        <v>-5.29324581833579E-3</v>
      </c>
      <c r="F336" s="16">
        <f t="shared" si="11"/>
        <v>3.4732913746597927E-3</v>
      </c>
      <c r="G336" s="16"/>
    </row>
    <row r="337" spans="2:7" x14ac:dyDescent="0.35">
      <c r="B337" s="43">
        <v>2833.8</v>
      </c>
      <c r="D337" s="43">
        <v>16238.2</v>
      </c>
      <c r="E337" s="16">
        <f t="shared" si="10"/>
        <v>-8.81430032084074E-4</v>
      </c>
      <c r="F337" s="16">
        <f t="shared" si="11"/>
        <v>-1.2332200575092545E-3</v>
      </c>
      <c r="G337" s="16"/>
    </row>
    <row r="338" spans="2:7" x14ac:dyDescent="0.35">
      <c r="B338" s="43">
        <v>2836.3</v>
      </c>
      <c r="D338" s="43">
        <v>16258.25</v>
      </c>
      <c r="E338" s="16">
        <f t="shared" si="10"/>
        <v>1.4032641533043844E-2</v>
      </c>
      <c r="F338" s="16">
        <f t="shared" si="11"/>
        <v>-1.342129348099852E-3</v>
      </c>
      <c r="G338" s="16"/>
    </row>
    <row r="339" spans="2:7" x14ac:dyDescent="0.35">
      <c r="B339" s="43">
        <v>2797.05</v>
      </c>
      <c r="D339" s="43">
        <v>16280.1</v>
      </c>
      <c r="E339" s="16">
        <f t="shared" si="10"/>
        <v>5.5543572044867151E-3</v>
      </c>
      <c r="F339" s="16">
        <f t="shared" si="11"/>
        <v>-1.3204563251389967E-4</v>
      </c>
      <c r="G339" s="16"/>
    </row>
    <row r="340" spans="2:7" x14ac:dyDescent="0.35">
      <c r="B340" s="43">
        <v>2781.6</v>
      </c>
      <c r="D340" s="43">
        <v>16282.25</v>
      </c>
      <c r="E340" s="16">
        <f t="shared" si="10"/>
        <v>-4.8509674985175444E-4</v>
      </c>
      <c r="F340" s="16">
        <f t="shared" si="11"/>
        <v>-5.0200435090806961E-3</v>
      </c>
      <c r="G340" s="16"/>
    </row>
    <row r="341" spans="2:7" x14ac:dyDescent="0.35">
      <c r="B341" s="43">
        <v>2782.95</v>
      </c>
      <c r="D341" s="43">
        <v>16364.4</v>
      </c>
      <c r="E341" s="16">
        <f t="shared" si="10"/>
        <v>3.8777865954837676E-3</v>
      </c>
      <c r="F341" s="16">
        <f t="shared" si="11"/>
        <v>-9.9642448772164771E-3</v>
      </c>
      <c r="G341" s="16"/>
    </row>
    <row r="342" spans="2:7" x14ac:dyDescent="0.35">
      <c r="B342" s="43">
        <v>2772.2</v>
      </c>
      <c r="D342" s="43">
        <v>16529.099999999999</v>
      </c>
      <c r="E342" s="16">
        <f t="shared" si="10"/>
        <v>9.0450798041747937E-3</v>
      </c>
      <c r="F342" s="16">
        <f t="shared" si="11"/>
        <v>-2.0497432538090221E-3</v>
      </c>
      <c r="G342" s="16"/>
    </row>
    <row r="343" spans="2:7" x14ac:dyDescent="0.35">
      <c r="B343" s="43">
        <v>2747.35</v>
      </c>
      <c r="D343" s="43">
        <v>16563.05</v>
      </c>
      <c r="E343" s="16">
        <f t="shared" si="10"/>
        <v>-1.2668008337526016E-2</v>
      </c>
      <c r="F343" s="16">
        <f t="shared" si="11"/>
        <v>-3.1026928123457642E-3</v>
      </c>
      <c r="G343" s="16"/>
    </row>
    <row r="344" spans="2:7" x14ac:dyDescent="0.35">
      <c r="B344" s="43">
        <v>2782.6</v>
      </c>
      <c r="D344" s="43">
        <v>16614.599999999999</v>
      </c>
      <c r="E344" s="16">
        <f t="shared" si="10"/>
        <v>6.8750904617165265E-3</v>
      </c>
      <c r="F344" s="16">
        <f t="shared" si="11"/>
        <v>2.7612055151684523E-3</v>
      </c>
      <c r="G344" s="16"/>
    </row>
    <row r="345" spans="2:7" x14ac:dyDescent="0.35">
      <c r="B345" s="43">
        <v>2763.6</v>
      </c>
      <c r="D345" s="43">
        <v>16568.849999999999</v>
      </c>
      <c r="E345" s="16">
        <f t="shared" si="10"/>
        <v>2.4504170528266922E-2</v>
      </c>
      <c r="F345" s="16">
        <f t="shared" si="11"/>
        <v>7.194310203337162E-3</v>
      </c>
      <c r="G345" s="16"/>
    </row>
    <row r="346" spans="2:7" x14ac:dyDescent="0.35">
      <c r="B346" s="43">
        <v>2697.5</v>
      </c>
      <c r="D346" s="43">
        <v>16450.5</v>
      </c>
      <c r="E346" s="16">
        <f t="shared" si="10"/>
        <v>6.3045586808923026E-3</v>
      </c>
      <c r="F346" s="16">
        <f t="shared" si="11"/>
        <v>-2.7854477781583675E-3</v>
      </c>
      <c r="G346" s="16"/>
    </row>
    <row r="347" spans="2:7" x14ac:dyDescent="0.35">
      <c r="B347" s="43">
        <v>2680.6</v>
      </c>
      <c r="D347" s="43">
        <v>16496.45</v>
      </c>
      <c r="E347" s="16">
        <f t="shared" si="10"/>
        <v>1.7751368723957217E-3</v>
      </c>
      <c r="F347" s="16">
        <f t="shared" si="11"/>
        <v>-7.7084561433056198E-3</v>
      </c>
      <c r="G347" s="16"/>
    </row>
    <row r="348" spans="2:7" x14ac:dyDescent="0.35">
      <c r="B348" s="43">
        <v>2675.85</v>
      </c>
      <c r="D348" s="43">
        <v>16624.599999999999</v>
      </c>
      <c r="E348" s="16">
        <f t="shared" si="10"/>
        <v>7.1055928495300513E-4</v>
      </c>
      <c r="F348" s="16">
        <f t="shared" si="11"/>
        <v>-6.0416059249834841E-4</v>
      </c>
      <c r="G348" s="16"/>
    </row>
    <row r="349" spans="2:7" x14ac:dyDescent="0.35">
      <c r="B349" s="43">
        <v>2673.95</v>
      </c>
      <c r="D349" s="43">
        <v>16634.650000000001</v>
      </c>
      <c r="E349" s="16">
        <f t="shared" si="10"/>
        <v>9.9714830692525513E-3</v>
      </c>
      <c r="F349" s="16">
        <f t="shared" si="11"/>
        <v>-1.3524154139288314E-4</v>
      </c>
      <c r="G349" s="16"/>
    </row>
    <row r="350" spans="2:7" x14ac:dyDescent="0.35">
      <c r="B350" s="43">
        <v>2647.55</v>
      </c>
      <c r="D350" s="43">
        <v>16636.900000000001</v>
      </c>
      <c r="E350" s="16">
        <f t="shared" si="10"/>
        <v>-9.9100615171743289E-3</v>
      </c>
      <c r="F350" s="16">
        <f t="shared" si="11"/>
        <v>-4.0885472786915678E-3</v>
      </c>
      <c r="G350" s="16"/>
    </row>
    <row r="351" spans="2:7" x14ac:dyDescent="0.35">
      <c r="B351" s="43">
        <v>2674.05</v>
      </c>
      <c r="D351" s="43">
        <v>16705.2</v>
      </c>
      <c r="E351" s="16">
        <f t="shared" si="10"/>
        <v>-1.9147180192572111E-2</v>
      </c>
      <c r="F351" s="16">
        <f t="shared" si="11"/>
        <v>-1.3339397143118603E-2</v>
      </c>
      <c r="G351" s="16"/>
    </row>
    <row r="352" spans="2:7" x14ac:dyDescent="0.35">
      <c r="B352" s="43">
        <v>2726.25</v>
      </c>
      <c r="D352" s="43">
        <v>16931.05</v>
      </c>
      <c r="E352" s="16">
        <f t="shared" si="10"/>
        <v>-5.6895891460144732E-3</v>
      </c>
      <c r="F352" s="16">
        <f t="shared" si="11"/>
        <v>-1.1741049018806793E-2</v>
      </c>
      <c r="G352" s="16"/>
    </row>
    <row r="353" spans="2:7" x14ac:dyDescent="0.35">
      <c r="B353" s="43">
        <v>2741.85</v>
      </c>
      <c r="D353" s="43">
        <v>17132.2</v>
      </c>
      <c r="E353" s="16">
        <f t="shared" si="10"/>
        <v>3.6485032015609598E-4</v>
      </c>
      <c r="F353" s="16">
        <f t="shared" si="11"/>
        <v>3.2764804919114265E-3</v>
      </c>
      <c r="G353" s="16"/>
    </row>
    <row r="354" spans="2:7" x14ac:dyDescent="0.35">
      <c r="B354" s="43">
        <v>2740.85</v>
      </c>
      <c r="D354" s="43">
        <v>17076.25</v>
      </c>
      <c r="E354" s="16">
        <f t="shared" si="10"/>
        <v>3.8456608127164227E-3</v>
      </c>
      <c r="F354" s="16">
        <f t="shared" si="11"/>
        <v>-9.162041644061425E-3</v>
      </c>
      <c r="G354" s="16"/>
    </row>
    <row r="355" spans="2:7" x14ac:dyDescent="0.35">
      <c r="B355" s="43">
        <v>2730.35</v>
      </c>
      <c r="D355" s="43">
        <v>17234.150000000001</v>
      </c>
      <c r="E355" s="16">
        <f t="shared" si="10"/>
        <v>-2.468341995749157E-2</v>
      </c>
      <c r="F355" s="16">
        <f t="shared" si="11"/>
        <v>-5.163476413678314E-3</v>
      </c>
      <c r="G355" s="16"/>
    </row>
    <row r="356" spans="2:7" x14ac:dyDescent="0.35">
      <c r="B356" s="43">
        <v>2799.45</v>
      </c>
      <c r="D356" s="43">
        <v>17323.599999999999</v>
      </c>
      <c r="E356" s="16">
        <f t="shared" si="10"/>
        <v>-6.3005821382933203E-3</v>
      </c>
      <c r="F356" s="16">
        <f t="shared" si="11"/>
        <v>-3.1189218428110399E-3</v>
      </c>
      <c r="G356" s="16"/>
    </row>
    <row r="357" spans="2:7" x14ac:dyDescent="0.35">
      <c r="B357" s="43">
        <v>2817.2</v>
      </c>
      <c r="D357" s="43">
        <v>17377.8</v>
      </c>
      <c r="E357" s="16">
        <f t="shared" si="10"/>
        <v>6.9520150120632174E-3</v>
      </c>
      <c r="F357" s="16">
        <f t="shared" si="11"/>
        <v>9.0426849286662225E-4</v>
      </c>
      <c r="G357" s="16"/>
    </row>
    <row r="358" spans="2:7" x14ac:dyDescent="0.35">
      <c r="B358" s="43">
        <v>2797.75</v>
      </c>
      <c r="D358" s="43">
        <v>17362.099999999999</v>
      </c>
      <c r="E358" s="16">
        <f t="shared" si="10"/>
        <v>-2.144120642521008E-4</v>
      </c>
      <c r="F358" s="16">
        <f t="shared" si="11"/>
        <v>4.9557726107107847E-4</v>
      </c>
      <c r="G358" s="16"/>
    </row>
    <row r="359" spans="2:7" x14ac:dyDescent="0.35">
      <c r="B359" s="43">
        <v>2798.35</v>
      </c>
      <c r="D359" s="43">
        <v>17353.5</v>
      </c>
      <c r="E359" s="16">
        <f t="shared" si="10"/>
        <v>5.8998104909369076E-4</v>
      </c>
      <c r="F359" s="16">
        <f t="shared" si="11"/>
        <v>-9.0677490392498949E-4</v>
      </c>
      <c r="G359" s="16"/>
    </row>
    <row r="360" spans="2:7" x14ac:dyDescent="0.35">
      <c r="B360" s="43">
        <v>2796.7</v>
      </c>
      <c r="D360" s="43">
        <v>17369.25</v>
      </c>
      <c r="E360" s="16">
        <f t="shared" si="10"/>
        <v>2.4732955767436948E-3</v>
      </c>
      <c r="F360" s="16">
        <f t="shared" si="11"/>
        <v>8.0378904426892106E-4</v>
      </c>
      <c r="G360" s="16"/>
    </row>
    <row r="361" spans="2:7" x14ac:dyDescent="0.35">
      <c r="B361" s="43">
        <v>2789.8</v>
      </c>
      <c r="D361" s="43">
        <v>17355.3</v>
      </c>
      <c r="E361" s="16">
        <f t="shared" si="10"/>
        <v>-2.1706350597888835E-2</v>
      </c>
      <c r="F361" s="16">
        <f t="shared" si="11"/>
        <v>-1.4211737629459265E-3</v>
      </c>
      <c r="G361" s="16"/>
    </row>
    <row r="362" spans="2:7" x14ac:dyDescent="0.35">
      <c r="B362" s="43">
        <v>2851.7</v>
      </c>
      <c r="D362" s="43">
        <v>17380</v>
      </c>
      <c r="E362" s="16">
        <f t="shared" si="10"/>
        <v>-8.0870971669072533E-3</v>
      </c>
      <c r="F362" s="16">
        <f t="shared" si="11"/>
        <v>-7.9597247630490697E-3</v>
      </c>
      <c r="G362" s="16"/>
    </row>
    <row r="363" spans="2:7" x14ac:dyDescent="0.35">
      <c r="B363" s="43">
        <v>2874.95</v>
      </c>
      <c r="D363" s="43">
        <v>17519.45</v>
      </c>
      <c r="E363" s="16">
        <f t="shared" si="10"/>
        <v>-1.556293658402963E-2</v>
      </c>
      <c r="F363" s="16">
        <f t="shared" si="11"/>
        <v>-6.2423778326100576E-3</v>
      </c>
      <c r="G363" s="16"/>
    </row>
    <row r="364" spans="2:7" x14ac:dyDescent="0.35">
      <c r="B364" s="43">
        <v>2920.4</v>
      </c>
      <c r="D364" s="43">
        <v>17629.5</v>
      </c>
      <c r="E364" s="16">
        <f t="shared" si="10"/>
        <v>-3.9903141093413641E-3</v>
      </c>
      <c r="F364" s="16">
        <f t="shared" si="11"/>
        <v>2.5220143132129724E-3</v>
      </c>
      <c r="G364" s="16"/>
    </row>
    <row r="365" spans="2:7" x14ac:dyDescent="0.35">
      <c r="B365" s="43">
        <v>2932.1</v>
      </c>
      <c r="D365" s="43">
        <v>17585.150000000001</v>
      </c>
      <c r="E365" s="16">
        <f t="shared" si="10"/>
        <v>1.4743035127184667E-2</v>
      </c>
      <c r="F365" s="16">
        <f t="shared" si="11"/>
        <v>1.0820893377555763E-2</v>
      </c>
      <c r="G365" s="16"/>
    </row>
    <row r="366" spans="2:7" x14ac:dyDescent="0.35">
      <c r="B366" s="43">
        <v>2889.5</v>
      </c>
      <c r="D366" s="43">
        <v>17396.900000000001</v>
      </c>
      <c r="E366" s="16">
        <f t="shared" si="10"/>
        <v>1.3699591292603008E-2</v>
      </c>
      <c r="F366" s="16">
        <f t="shared" si="11"/>
        <v>-9.4009793873134351E-3</v>
      </c>
      <c r="G366" s="16"/>
    </row>
    <row r="367" spans="2:7" x14ac:dyDescent="0.35">
      <c r="B367" s="43">
        <v>2850.45</v>
      </c>
      <c r="D367" s="43">
        <v>17562</v>
      </c>
      <c r="E367" s="16">
        <f t="shared" si="10"/>
        <v>1.1414723236864432E-3</v>
      </c>
      <c r="F367" s="16">
        <f t="shared" si="11"/>
        <v>8.7481086133234243E-4</v>
      </c>
      <c r="G367" s="16"/>
    </row>
    <row r="368" spans="2:7" x14ac:dyDescent="0.35">
      <c r="B368" s="43">
        <v>2847.2</v>
      </c>
      <c r="D368" s="43">
        <v>17546.650000000001</v>
      </c>
      <c r="E368" s="16">
        <f t="shared" si="10"/>
        <v>-2.050437251362669E-3</v>
      </c>
      <c r="F368" s="16">
        <f t="shared" si="11"/>
        <v>-1.550248415666311E-2</v>
      </c>
      <c r="G368" s="16"/>
    </row>
    <row r="369" spans="2:7" x14ac:dyDescent="0.35">
      <c r="B369" s="43">
        <v>2853.05</v>
      </c>
      <c r="D369" s="43">
        <v>17822.95</v>
      </c>
      <c r="E369" s="16">
        <f t="shared" si="10"/>
        <v>6.917362226261492E-3</v>
      </c>
      <c r="F369" s="16">
        <f t="shared" si="11"/>
        <v>-1.694374117805264E-3</v>
      </c>
      <c r="G369" s="16"/>
    </row>
    <row r="370" spans="2:7" x14ac:dyDescent="0.35">
      <c r="B370" s="43">
        <v>2833.45</v>
      </c>
      <c r="D370" s="43">
        <v>17853.2</v>
      </c>
      <c r="E370" s="16">
        <f t="shared" si="10"/>
        <v>-2.729192056162999E-2</v>
      </c>
      <c r="F370" s="16">
        <f t="shared" si="11"/>
        <v>-1.0641217355256138E-4</v>
      </c>
      <c r="G370" s="16"/>
    </row>
    <row r="371" spans="2:7" x14ac:dyDescent="0.35">
      <c r="B371" s="43">
        <v>2912.95</v>
      </c>
      <c r="D371" s="43">
        <v>17855.099999999999</v>
      </c>
      <c r="E371" s="16">
        <f t="shared" si="10"/>
        <v>-2.6022495762785258E-3</v>
      </c>
      <c r="F371" s="16">
        <f t="shared" si="11"/>
        <v>6.0004732767655611E-3</v>
      </c>
      <c r="G371" s="16"/>
    </row>
    <row r="372" spans="2:7" x14ac:dyDescent="0.35">
      <c r="B372" s="43">
        <v>2920.55</v>
      </c>
      <c r="D372" s="43">
        <v>17748.599999999999</v>
      </c>
      <c r="E372" s="16">
        <f t="shared" si="10"/>
        <v>1.1918992429361008E-2</v>
      </c>
      <c r="F372" s="16">
        <f t="shared" si="11"/>
        <v>2.1060001242143578E-3</v>
      </c>
      <c r="G372" s="16"/>
    </row>
    <row r="373" spans="2:7" x14ac:dyDescent="0.35">
      <c r="B373" s="43">
        <v>2886.15</v>
      </c>
      <c r="D373" s="43">
        <v>17711.3</v>
      </c>
      <c r="E373" s="16">
        <f t="shared" si="10"/>
        <v>1.8940864960282466E-2</v>
      </c>
      <c r="F373" s="16">
        <f t="shared" si="11"/>
        <v>5.2871612513230026E-3</v>
      </c>
      <c r="G373" s="16"/>
    </row>
    <row r="374" spans="2:7" x14ac:dyDescent="0.35">
      <c r="B374" s="43">
        <v>2832.5</v>
      </c>
      <c r="D374" s="43">
        <v>17618.150000000001</v>
      </c>
      <c r="E374" s="16">
        <f t="shared" si="10"/>
        <v>-5.4249547920433017E-3</v>
      </c>
      <c r="F374" s="16">
        <f t="shared" si="11"/>
        <v>4.9110058435837267E-3</v>
      </c>
      <c r="G374" s="16"/>
    </row>
    <row r="375" spans="2:7" x14ac:dyDescent="0.35">
      <c r="B375" s="43">
        <v>2847.95</v>
      </c>
      <c r="D375" s="43">
        <v>17532.05</v>
      </c>
      <c r="E375" s="16">
        <f t="shared" si="10"/>
        <v>-2.6614837772058753E-3</v>
      </c>
      <c r="F375" s="16">
        <f t="shared" si="11"/>
        <v>-8.9987988412351116E-3</v>
      </c>
      <c r="G375" s="16"/>
    </row>
    <row r="376" spans="2:7" x14ac:dyDescent="0.35">
      <c r="B376" s="43">
        <v>2855.55</v>
      </c>
      <c r="D376" s="43">
        <v>17691.25</v>
      </c>
      <c r="E376" s="16">
        <f t="shared" si="10"/>
        <v>3.8670439964141323E-3</v>
      </c>
      <c r="F376" s="16">
        <f t="shared" si="11"/>
        <v>-7.3531474613265368E-3</v>
      </c>
      <c r="G376" s="16"/>
    </row>
    <row r="377" spans="2:7" x14ac:dyDescent="0.35">
      <c r="B377" s="43">
        <v>2844.55</v>
      </c>
      <c r="D377" s="43">
        <v>17822.3</v>
      </c>
      <c r="E377" s="16">
        <f t="shared" si="10"/>
        <v>1.6582384789950444E-2</v>
      </c>
      <c r="F377" s="16">
        <f t="shared" si="11"/>
        <v>9.9909327893006328E-3</v>
      </c>
      <c r="G377" s="16"/>
    </row>
    <row r="378" spans="2:7" x14ac:dyDescent="0.35">
      <c r="B378" s="43">
        <v>2798.15</v>
      </c>
      <c r="D378" s="43">
        <v>17646</v>
      </c>
      <c r="E378" s="16">
        <f t="shared" si="10"/>
        <v>-1.5308007671599233E-2</v>
      </c>
      <c r="F378" s="16">
        <f t="shared" si="11"/>
        <v>-8.1139494163969816E-3</v>
      </c>
      <c r="G378" s="16"/>
    </row>
    <row r="379" spans="2:7" x14ac:dyDescent="0.35">
      <c r="B379" s="43">
        <v>2841.65</v>
      </c>
      <c r="D379" s="43">
        <v>17790.349999999999</v>
      </c>
      <c r="E379" s="16">
        <f t="shared" si="10"/>
        <v>-1.583336265437163E-4</v>
      </c>
      <c r="F379" s="16">
        <f t="shared" si="11"/>
        <v>-5.8591130582503759E-3</v>
      </c>
      <c r="G379" s="16"/>
    </row>
    <row r="380" spans="2:7" x14ac:dyDescent="0.35">
      <c r="B380" s="43">
        <v>2842.1</v>
      </c>
      <c r="D380" s="43">
        <v>17895.2</v>
      </c>
      <c r="E380" s="16">
        <f t="shared" si="10"/>
        <v>-5.4937364406187905E-3</v>
      </c>
      <c r="F380" s="16">
        <f t="shared" si="11"/>
        <v>-2.8279361081469112E-3</v>
      </c>
      <c r="G380" s="16"/>
    </row>
    <row r="381" spans="2:7" x14ac:dyDescent="0.35">
      <c r="B381" s="43">
        <v>2857.8</v>
      </c>
      <c r="D381" s="43">
        <v>17945.95</v>
      </c>
      <c r="E381" s="16">
        <f t="shared" si="10"/>
        <v>-2.017725815576088E-2</v>
      </c>
      <c r="F381" s="16">
        <f t="shared" si="11"/>
        <v>-2.5566989681496954E-3</v>
      </c>
      <c r="G381" s="16"/>
    </row>
    <row r="382" spans="2:7" x14ac:dyDescent="0.35">
      <c r="B382" s="43">
        <v>2916.65</v>
      </c>
      <c r="D382" s="43">
        <v>17991.95</v>
      </c>
      <c r="E382" s="16">
        <f t="shared" si="10"/>
        <v>-2.922877068234575E-3</v>
      </c>
      <c r="F382" s="16">
        <f t="shared" si="11"/>
        <v>-9.3493193111896522E-3</v>
      </c>
      <c r="G382" s="16"/>
    </row>
    <row r="383" spans="2:7" x14ac:dyDescent="0.35">
      <c r="B383" s="43">
        <v>2925.2</v>
      </c>
      <c r="D383" s="43">
        <v>18161.75</v>
      </c>
      <c r="E383" s="16">
        <f t="shared" si="10"/>
        <v>-8.8803880046461892E-4</v>
      </c>
      <c r="F383" s="16">
        <f t="shared" si="11"/>
        <v>-9.6408930913294277E-3</v>
      </c>
      <c r="G383" s="16"/>
    </row>
    <row r="384" spans="2:7" x14ac:dyDescent="0.35">
      <c r="B384" s="43">
        <v>2927.8</v>
      </c>
      <c r="D384" s="43">
        <v>18338.55</v>
      </c>
      <c r="E384" s="16">
        <f t="shared" si="10"/>
        <v>8.1608760028926142E-3</v>
      </c>
      <c r="F384" s="16">
        <f t="shared" si="11"/>
        <v>-7.4957853120493079E-3</v>
      </c>
      <c r="G384" s="16"/>
    </row>
    <row r="385" spans="2:7" x14ac:dyDescent="0.35">
      <c r="B385" s="43">
        <v>2904.1</v>
      </c>
      <c r="D385" s="43">
        <v>18477.05</v>
      </c>
      <c r="E385" s="16">
        <f t="shared" si="10"/>
        <v>9.7529597885988029E-3</v>
      </c>
      <c r="F385" s="16">
        <f t="shared" si="11"/>
        <v>3.1652527994570079E-3</v>
      </c>
      <c r="G385" s="16"/>
    </row>
    <row r="386" spans="2:7" x14ac:dyDescent="0.35">
      <c r="B386" s="43">
        <v>2876.05</v>
      </c>
      <c r="D386" s="43">
        <v>18418.75</v>
      </c>
      <c r="E386" s="16">
        <f t="shared" si="10"/>
        <v>2.1324573863636509E-2</v>
      </c>
      <c r="F386" s="16">
        <f t="shared" si="11"/>
        <v>8.3294099613502315E-3</v>
      </c>
      <c r="G386" s="16"/>
    </row>
    <row r="387" spans="2:7" x14ac:dyDescent="0.35">
      <c r="B387" s="43">
        <v>2816</v>
      </c>
      <c r="D387" s="43">
        <v>18266.599999999999</v>
      </c>
      <c r="E387" s="16">
        <f t="shared" si="10"/>
        <v>2.1437121404475956E-2</v>
      </c>
      <c r="F387" s="16">
        <f t="shared" si="11"/>
        <v>4.8684956073516972E-3</v>
      </c>
      <c r="G387" s="16"/>
    </row>
    <row r="388" spans="2:7" x14ac:dyDescent="0.35">
      <c r="B388" s="43">
        <v>2756.9</v>
      </c>
      <c r="D388" s="43">
        <v>18178.099999999999</v>
      </c>
      <c r="E388" s="16">
        <f t="shared" ref="E388:E451" si="12">B388/B389-1</f>
        <v>4.6462474718946822E-3</v>
      </c>
      <c r="F388" s="16">
        <f t="shared" ref="F388:F451" si="13">D388/D389-1</f>
        <v>3.4888406781157233E-3</v>
      </c>
      <c r="G388" s="16"/>
    </row>
    <row r="389" spans="2:7" x14ac:dyDescent="0.35">
      <c r="B389" s="43">
        <v>2744.15</v>
      </c>
      <c r="D389" s="43">
        <v>18114.900000000001</v>
      </c>
      <c r="E389" s="16">
        <f t="shared" si="12"/>
        <v>2.1345094536251219E-2</v>
      </c>
      <c r="F389" s="16">
        <f t="shared" si="13"/>
        <v>-5.792975603297057E-4</v>
      </c>
      <c r="G389" s="16"/>
    </row>
    <row r="390" spans="2:7" x14ac:dyDescent="0.35">
      <c r="B390" s="43">
        <v>2686.8</v>
      </c>
      <c r="D390" s="43">
        <v>18125.400000000001</v>
      </c>
      <c r="E390" s="16">
        <f t="shared" si="12"/>
        <v>-5.0731346047027115E-3</v>
      </c>
      <c r="F390" s="16">
        <f t="shared" si="13"/>
        <v>-7.8277243765190185E-3</v>
      </c>
      <c r="G390" s="16"/>
    </row>
    <row r="391" spans="2:7" x14ac:dyDescent="0.35">
      <c r="B391" s="43">
        <v>2700.5</v>
      </c>
      <c r="D391" s="43">
        <v>18268.400000000001</v>
      </c>
      <c r="E391" s="16">
        <f t="shared" si="12"/>
        <v>3.8473691058118487E-3</v>
      </c>
      <c r="F391" s="16">
        <f t="shared" si="13"/>
        <v>3.1546953893124563E-3</v>
      </c>
      <c r="G391" s="16"/>
    </row>
    <row r="392" spans="2:7" x14ac:dyDescent="0.35">
      <c r="B392" s="43">
        <v>2690.15</v>
      </c>
      <c r="D392" s="43">
        <v>18210.95</v>
      </c>
      <c r="E392" s="16">
        <f t="shared" si="12"/>
        <v>8.3965888857651105E-3</v>
      </c>
      <c r="F392" s="16">
        <f t="shared" si="13"/>
        <v>1.9807081157513062E-2</v>
      </c>
      <c r="G392" s="16"/>
    </row>
    <row r="393" spans="2:7" x14ac:dyDescent="0.35">
      <c r="B393" s="43">
        <v>2667.75</v>
      </c>
      <c r="D393" s="43">
        <v>17857.25</v>
      </c>
      <c r="E393" s="16">
        <f t="shared" si="12"/>
        <v>4.0081291633735638E-3</v>
      </c>
      <c r="F393" s="16">
        <f t="shared" si="13"/>
        <v>1.0502697823915552E-2</v>
      </c>
      <c r="G393" s="16"/>
    </row>
    <row r="394" spans="2:7" x14ac:dyDescent="0.35">
      <c r="B394" s="43">
        <v>2657.1</v>
      </c>
      <c r="D394" s="43">
        <v>17671.650000000001</v>
      </c>
      <c r="E394" s="16">
        <f t="shared" si="12"/>
        <v>-8.8036706830305622E-3</v>
      </c>
      <c r="F394" s="16">
        <f t="shared" si="13"/>
        <v>-1.4389572579498244E-2</v>
      </c>
      <c r="G394" s="16"/>
    </row>
    <row r="395" spans="2:7" x14ac:dyDescent="0.35">
      <c r="B395" s="43">
        <v>2680.7</v>
      </c>
      <c r="D395" s="43">
        <v>17929.650000000001</v>
      </c>
      <c r="E395" s="16">
        <f t="shared" si="12"/>
        <v>-1.341131766196213E-3</v>
      </c>
      <c r="F395" s="16">
        <f t="shared" si="13"/>
        <v>2.2751475072602112E-3</v>
      </c>
      <c r="G395" s="16"/>
    </row>
    <row r="396" spans="2:7" x14ac:dyDescent="0.35">
      <c r="B396" s="43">
        <v>2684.3</v>
      </c>
      <c r="D396" s="43">
        <v>17888.95</v>
      </c>
      <c r="E396" s="16">
        <f t="shared" si="12"/>
        <v>1.6222150712676964E-2</v>
      </c>
      <c r="F396" s="16">
        <f t="shared" si="13"/>
        <v>3.3512440266529886E-3</v>
      </c>
      <c r="G396" s="16"/>
    </row>
    <row r="397" spans="2:7" x14ac:dyDescent="0.35">
      <c r="B397" s="43">
        <v>2641.45</v>
      </c>
      <c r="D397" s="43">
        <v>17829.2</v>
      </c>
      <c r="E397" s="16">
        <f t="shared" si="12"/>
        <v>-1.346405228758174E-2</v>
      </c>
      <c r="F397" s="16">
        <f t="shared" si="13"/>
        <v>-4.8892659403464434E-3</v>
      </c>
      <c r="G397" s="16"/>
    </row>
    <row r="398" spans="2:7" x14ac:dyDescent="0.35">
      <c r="B398" s="43">
        <v>2677.5</v>
      </c>
      <c r="D398" s="43">
        <v>17916.8</v>
      </c>
      <c r="E398" s="16">
        <f t="shared" si="12"/>
        <v>-2.0127474002012979E-3</v>
      </c>
      <c r="F398" s="16">
        <f t="shared" si="13"/>
        <v>-8.3985709976727163E-3</v>
      </c>
      <c r="G398" s="16"/>
    </row>
    <row r="399" spans="2:7" x14ac:dyDescent="0.35">
      <c r="B399" s="43">
        <v>2682.9</v>
      </c>
      <c r="D399" s="43">
        <v>18068.55</v>
      </c>
      <c r="E399" s="16">
        <f t="shared" si="12"/>
        <v>-1.158656768655475E-2</v>
      </c>
      <c r="F399" s="16">
        <f t="shared" si="13"/>
        <v>1.3466893885862863E-3</v>
      </c>
      <c r="G399" s="16"/>
    </row>
    <row r="400" spans="2:7" x14ac:dyDescent="0.35">
      <c r="B400" s="43">
        <v>2714.35</v>
      </c>
      <c r="D400" s="43">
        <v>18044.25</v>
      </c>
      <c r="E400" s="16">
        <f t="shared" si="12"/>
        <v>-1.6367515080183415E-3</v>
      </c>
      <c r="F400" s="16">
        <f t="shared" si="13"/>
        <v>1.5013431609793848E-3</v>
      </c>
      <c r="G400" s="16"/>
    </row>
    <row r="401" spans="2:7" x14ac:dyDescent="0.35">
      <c r="B401" s="43">
        <v>2718.8</v>
      </c>
      <c r="D401" s="43">
        <v>18017.2</v>
      </c>
      <c r="E401" s="16">
        <f t="shared" si="12"/>
        <v>6.6274204894665179E-3</v>
      </c>
      <c r="F401" s="16">
        <f t="shared" si="13"/>
        <v>8.0341956852565399E-3</v>
      </c>
      <c r="G401" s="16"/>
    </row>
    <row r="402" spans="2:7" x14ac:dyDescent="0.35">
      <c r="B402" s="43">
        <v>2700.9</v>
      </c>
      <c r="D402" s="43">
        <v>17873.599999999999</v>
      </c>
      <c r="E402" s="16">
        <f t="shared" si="12"/>
        <v>6.6528763906748001E-3</v>
      </c>
      <c r="F402" s="16">
        <f t="shared" si="13"/>
        <v>-1.2658297772437987E-2</v>
      </c>
      <c r="G402" s="16"/>
    </row>
    <row r="403" spans="2:7" x14ac:dyDescent="0.35">
      <c r="B403" s="43">
        <v>2683.05</v>
      </c>
      <c r="D403" s="43">
        <v>18102.75</v>
      </c>
      <c r="E403" s="16">
        <f t="shared" si="12"/>
        <v>-3.7872458925090058E-3</v>
      </c>
      <c r="F403" s="16">
        <f t="shared" si="13"/>
        <v>-3.6997258337501115E-4</v>
      </c>
      <c r="G403" s="16"/>
    </row>
    <row r="404" spans="2:7" x14ac:dyDescent="0.35">
      <c r="B404" s="43">
        <v>2693.25</v>
      </c>
      <c r="D404" s="43">
        <v>18109.45</v>
      </c>
      <c r="E404" s="16">
        <f t="shared" si="12"/>
        <v>-2.0956777781816927E-2</v>
      </c>
      <c r="F404" s="16">
        <f t="shared" si="13"/>
        <v>6.1252722343214661E-3</v>
      </c>
      <c r="G404" s="16"/>
    </row>
    <row r="405" spans="2:7" x14ac:dyDescent="0.35">
      <c r="B405" s="43">
        <v>2750.9</v>
      </c>
      <c r="D405" s="43">
        <v>17999.2</v>
      </c>
      <c r="E405" s="16">
        <f t="shared" si="12"/>
        <v>5.637696182734242E-4</v>
      </c>
      <c r="F405" s="16">
        <f t="shared" si="13"/>
        <v>5.6177421202157074E-3</v>
      </c>
      <c r="G405" s="16"/>
    </row>
    <row r="406" spans="2:7" x14ac:dyDescent="0.35">
      <c r="B406" s="43">
        <v>2749.35</v>
      </c>
      <c r="D406" s="43">
        <v>17898.650000000001</v>
      </c>
      <c r="E406" s="16">
        <f t="shared" si="12"/>
        <v>2.4023688474216431E-2</v>
      </c>
      <c r="F406" s="16">
        <f t="shared" si="13"/>
        <v>7.5345627307936702E-3</v>
      </c>
      <c r="G406" s="16"/>
    </row>
    <row r="407" spans="2:7" x14ac:dyDescent="0.35">
      <c r="B407" s="43">
        <v>2684.85</v>
      </c>
      <c r="D407" s="43">
        <v>17764.8</v>
      </c>
      <c r="E407" s="16">
        <f t="shared" si="12"/>
        <v>1.9073104076520186E-2</v>
      </c>
      <c r="F407" s="16">
        <f t="shared" si="13"/>
        <v>1.9995349251143324E-2</v>
      </c>
      <c r="G407" s="16"/>
    </row>
    <row r="408" spans="2:7" x14ac:dyDescent="0.35">
      <c r="B408" s="43">
        <v>2634.6</v>
      </c>
      <c r="D408" s="43">
        <v>17416.55</v>
      </c>
      <c r="E408" s="16">
        <f t="shared" si="12"/>
        <v>9.1178481878273487E-4</v>
      </c>
      <c r="F408" s="16">
        <f t="shared" si="13"/>
        <v>-4.9590506960095482E-3</v>
      </c>
      <c r="G408" s="16"/>
    </row>
    <row r="409" spans="2:7" x14ac:dyDescent="0.35">
      <c r="B409" s="43">
        <v>2632.2</v>
      </c>
      <c r="D409" s="43">
        <v>17503.349999999999</v>
      </c>
      <c r="E409" s="16">
        <f t="shared" si="12"/>
        <v>4.2540203353615968E-3</v>
      </c>
      <c r="F409" s="16">
        <f t="shared" si="13"/>
        <v>5.0703271021328433E-3</v>
      </c>
      <c r="G409" s="16"/>
    </row>
    <row r="410" spans="2:7" x14ac:dyDescent="0.35">
      <c r="B410" s="43">
        <v>2621.0500000000002</v>
      </c>
      <c r="D410" s="43">
        <v>17415.05</v>
      </c>
      <c r="E410" s="16">
        <f t="shared" si="12"/>
        <v>1.0155316606929699E-2</v>
      </c>
      <c r="F410" s="16">
        <f t="shared" si="13"/>
        <v>-6.9113978188038994E-3</v>
      </c>
      <c r="G410" s="16"/>
    </row>
    <row r="411" spans="2:7" x14ac:dyDescent="0.35">
      <c r="B411" s="43">
        <v>2594.6999999999998</v>
      </c>
      <c r="D411" s="43">
        <v>17536.25</v>
      </c>
      <c r="E411" s="16">
        <f t="shared" si="12"/>
        <v>2.5816399146042501E-2</v>
      </c>
      <c r="F411" s="16">
        <f t="shared" si="13"/>
        <v>2.9941649609871668E-2</v>
      </c>
      <c r="G411" s="16"/>
    </row>
    <row r="412" spans="2:7" x14ac:dyDescent="0.35">
      <c r="B412" s="43">
        <v>2529.4</v>
      </c>
      <c r="D412" s="43">
        <v>17026.45</v>
      </c>
      <c r="E412" s="16">
        <f t="shared" si="12"/>
        <v>1.5497029066966483E-2</v>
      </c>
      <c r="F412" s="16">
        <f t="shared" si="13"/>
        <v>-1.6125296485565155E-3</v>
      </c>
      <c r="G412" s="16"/>
    </row>
    <row r="413" spans="2:7" x14ac:dyDescent="0.35">
      <c r="B413" s="43">
        <v>2490.8000000000002</v>
      </c>
      <c r="D413" s="43">
        <v>17053.95</v>
      </c>
      <c r="E413" s="16">
        <f t="shared" si="12"/>
        <v>1.6943616543502182E-2</v>
      </c>
      <c r="F413" s="16">
        <f t="shared" si="13"/>
        <v>4.1658815770879709E-3</v>
      </c>
      <c r="G413" s="16"/>
    </row>
    <row r="414" spans="2:7" x14ac:dyDescent="0.35">
      <c r="B414" s="43">
        <v>2449.3000000000002</v>
      </c>
      <c r="D414" s="43">
        <v>16983.2</v>
      </c>
      <c r="E414" s="16">
        <f t="shared" si="12"/>
        <v>4.4930969692025258E-4</v>
      </c>
      <c r="F414" s="16">
        <f t="shared" si="13"/>
        <v>-1.0700825425673854E-2</v>
      </c>
      <c r="G414" s="16"/>
    </row>
    <row r="415" spans="2:7" x14ac:dyDescent="0.35">
      <c r="B415" s="43">
        <v>2448.1999999999998</v>
      </c>
      <c r="D415" s="43">
        <v>17166.900000000001</v>
      </c>
      <c r="E415" s="16">
        <f t="shared" si="12"/>
        <v>-9.9081975168844316E-3</v>
      </c>
      <c r="F415" s="16">
        <f t="shared" si="13"/>
        <v>-1.3490100076716915E-2</v>
      </c>
      <c r="G415" s="16"/>
    </row>
    <row r="416" spans="2:7" x14ac:dyDescent="0.35">
      <c r="B416" s="43">
        <v>2472.6999999999998</v>
      </c>
      <c r="D416" s="43">
        <v>17401.650000000001</v>
      </c>
      <c r="E416" s="16">
        <f t="shared" si="12"/>
        <v>4.1625210664175682E-3</v>
      </c>
      <c r="F416" s="16">
        <f t="shared" si="13"/>
        <v>1.191798426442281E-2</v>
      </c>
      <c r="G416" s="16"/>
    </row>
    <row r="417" spans="2:7" x14ac:dyDescent="0.35">
      <c r="B417" s="43">
        <v>2462.4499999999998</v>
      </c>
      <c r="D417" s="43">
        <v>17196.7</v>
      </c>
      <c r="E417" s="16">
        <f t="shared" si="12"/>
        <v>1.7541322314049479E-2</v>
      </c>
      <c r="F417" s="16">
        <f t="shared" si="13"/>
        <v>1.6819169536874234E-2</v>
      </c>
      <c r="G417" s="16"/>
    </row>
    <row r="418" spans="2:7" x14ac:dyDescent="0.35">
      <c r="B418" s="43">
        <v>2420</v>
      </c>
      <c r="D418" s="43">
        <v>16912.25</v>
      </c>
      <c r="E418" s="16">
        <f t="shared" si="12"/>
        <v>-1.6979445933869575E-2</v>
      </c>
      <c r="F418" s="16">
        <f t="shared" si="13"/>
        <v>-1.5395856014251863E-2</v>
      </c>
      <c r="G418" s="16"/>
    </row>
    <row r="419" spans="2:7" x14ac:dyDescent="0.35">
      <c r="B419" s="43">
        <v>2461.8000000000002</v>
      </c>
      <c r="D419" s="43">
        <v>17176.7</v>
      </c>
      <c r="E419" s="16">
        <f t="shared" si="12"/>
        <v>-1.1583321622869458E-2</v>
      </c>
      <c r="F419" s="16">
        <f t="shared" si="13"/>
        <v>-1.6774710571130003E-2</v>
      </c>
      <c r="G419" s="16"/>
    </row>
    <row r="420" spans="2:7" x14ac:dyDescent="0.35">
      <c r="B420" s="43">
        <v>2490.65</v>
      </c>
      <c r="D420" s="43">
        <v>17469.75</v>
      </c>
      <c r="E420" s="16">
        <f t="shared" si="12"/>
        <v>-1.201927844661721E-2</v>
      </c>
      <c r="F420" s="16">
        <f t="shared" si="13"/>
        <v>-2.6888396030106954E-3</v>
      </c>
      <c r="G420" s="16"/>
    </row>
    <row r="421" spans="2:7" x14ac:dyDescent="0.35">
      <c r="B421" s="43">
        <v>2520.9499999999998</v>
      </c>
      <c r="D421" s="43">
        <v>17516.849999999999</v>
      </c>
      <c r="E421" s="16">
        <f t="shared" si="12"/>
        <v>-2.3349229277559447E-3</v>
      </c>
      <c r="F421" s="16">
        <f t="shared" si="13"/>
        <v>3.1693820561584651E-4</v>
      </c>
      <c r="G421" s="16"/>
    </row>
    <row r="422" spans="2:7" x14ac:dyDescent="0.35">
      <c r="B422" s="43">
        <v>2526.85</v>
      </c>
      <c r="D422" s="43">
        <v>17511.3</v>
      </c>
      <c r="E422" s="16">
        <f t="shared" si="12"/>
        <v>1.2765531062124191E-2</v>
      </c>
      <c r="F422" s="16">
        <f t="shared" si="13"/>
        <v>8.2362932362212149E-3</v>
      </c>
      <c r="G422" s="16"/>
    </row>
    <row r="423" spans="2:7" x14ac:dyDescent="0.35">
      <c r="B423" s="43">
        <v>2495</v>
      </c>
      <c r="D423" s="43">
        <v>17368.25</v>
      </c>
      <c r="E423" s="16">
        <f t="shared" si="12"/>
        <v>4.5092197439406956E-3</v>
      </c>
      <c r="F423" s="16">
        <f t="shared" si="13"/>
        <v>2.5021789447556841E-3</v>
      </c>
      <c r="G423" s="16"/>
    </row>
    <row r="424" spans="2:7" x14ac:dyDescent="0.35">
      <c r="B424" s="43">
        <v>2483.8000000000002</v>
      </c>
      <c r="D424" s="43">
        <v>17324.900000000001</v>
      </c>
      <c r="E424" s="16">
        <f t="shared" si="12"/>
        <v>-9.3133637795903557E-3</v>
      </c>
      <c r="F424" s="16">
        <f t="shared" si="13"/>
        <v>6.0099643466848818E-3</v>
      </c>
      <c r="G424" s="16"/>
    </row>
    <row r="425" spans="2:7" x14ac:dyDescent="0.35">
      <c r="B425" s="43">
        <v>2507.15</v>
      </c>
      <c r="D425" s="43">
        <v>17221.400000000001</v>
      </c>
      <c r="E425" s="16">
        <f t="shared" si="12"/>
        <v>1.4588644733114942E-2</v>
      </c>
      <c r="F425" s="16">
        <f t="shared" si="13"/>
        <v>-1.5653625843556895E-3</v>
      </c>
      <c r="G425" s="16"/>
    </row>
    <row r="426" spans="2:7" x14ac:dyDescent="0.35">
      <c r="B426" s="43">
        <v>2471.1</v>
      </c>
      <c r="D426" s="43">
        <v>17248.400000000001</v>
      </c>
      <c r="E426" s="16">
        <f t="shared" si="12"/>
        <v>1.0819544720102936E-2</v>
      </c>
      <c r="F426" s="16">
        <f t="shared" si="13"/>
        <v>1.5495843440171519E-2</v>
      </c>
      <c r="G426" s="16"/>
    </row>
    <row r="427" spans="2:7" x14ac:dyDescent="0.35">
      <c r="B427" s="43">
        <v>2444.65</v>
      </c>
      <c r="D427" s="43">
        <v>16985.2</v>
      </c>
      <c r="E427" s="16">
        <f t="shared" si="12"/>
        <v>3.7341141026457025E-2</v>
      </c>
      <c r="F427" s="16">
        <f t="shared" si="13"/>
        <v>2.2330295771087361E-2</v>
      </c>
      <c r="G427" s="16"/>
    </row>
    <row r="428" spans="2:7" x14ac:dyDescent="0.35">
      <c r="B428" s="43">
        <v>2356.65</v>
      </c>
      <c r="D428" s="43">
        <v>16614.2</v>
      </c>
      <c r="E428" s="16">
        <f t="shared" si="12"/>
        <v>3.9405299480275158E-3</v>
      </c>
      <c r="F428" s="16">
        <f t="shared" si="13"/>
        <v>-9.3406118354166789E-3</v>
      </c>
      <c r="G428" s="16"/>
    </row>
    <row r="429" spans="2:7" x14ac:dyDescent="0.35">
      <c r="B429" s="43">
        <v>2347.4</v>
      </c>
      <c r="D429" s="43">
        <v>16770.849999999999</v>
      </c>
      <c r="E429" s="16">
        <f t="shared" si="12"/>
        <v>-5.9604904632160061E-4</v>
      </c>
      <c r="F429" s="16">
        <f t="shared" si="13"/>
        <v>-1.0887354803322924E-2</v>
      </c>
      <c r="G429" s="16"/>
    </row>
    <row r="430" spans="2:7" x14ac:dyDescent="0.35">
      <c r="B430" s="43">
        <v>2348.8000000000002</v>
      </c>
      <c r="D430" s="43">
        <v>16955.45</v>
      </c>
      <c r="E430" s="16">
        <f t="shared" si="12"/>
        <v>-1.8347473565427985E-2</v>
      </c>
      <c r="F430" s="16">
        <f t="shared" si="13"/>
        <v>-6.8618722397290055E-3</v>
      </c>
      <c r="G430" s="16"/>
    </row>
    <row r="431" spans="2:7" x14ac:dyDescent="0.35">
      <c r="B431" s="43">
        <v>2392.6999999999998</v>
      </c>
      <c r="D431" s="43">
        <v>17072.599999999999</v>
      </c>
      <c r="E431" s="16">
        <f t="shared" si="12"/>
        <v>1.0449539175327871E-4</v>
      </c>
      <c r="F431" s="16">
        <f t="shared" si="13"/>
        <v>4.0491068146730758E-3</v>
      </c>
      <c r="G431" s="16"/>
    </row>
    <row r="432" spans="2:7" x14ac:dyDescent="0.35">
      <c r="B432" s="43">
        <v>2392.4499999999998</v>
      </c>
      <c r="D432" s="43">
        <v>17003.75</v>
      </c>
      <c r="E432" s="16">
        <f t="shared" si="12"/>
        <v>-3.975853455453815E-3</v>
      </c>
      <c r="F432" s="16">
        <f t="shared" si="13"/>
        <v>-4.8284439242081145E-3</v>
      </c>
      <c r="G432" s="16"/>
    </row>
    <row r="433" spans="2:7" x14ac:dyDescent="0.35">
      <c r="B433" s="43">
        <v>2402</v>
      </c>
      <c r="D433" s="43">
        <v>17086.25</v>
      </c>
      <c r="E433" s="16">
        <f t="shared" si="12"/>
        <v>-6.5348664074779128E-3</v>
      </c>
      <c r="F433" s="16">
        <f t="shared" si="13"/>
        <v>-8.5300219053283666E-3</v>
      </c>
      <c r="G433" s="16"/>
    </row>
    <row r="434" spans="2:7" x14ac:dyDescent="0.35">
      <c r="B434" s="43">
        <v>2417.8000000000002</v>
      </c>
      <c r="D434" s="43">
        <v>17233.25</v>
      </c>
      <c r="E434" s="16">
        <f t="shared" si="12"/>
        <v>-6.3495325182368889E-3</v>
      </c>
      <c r="F434" s="16">
        <f t="shared" si="13"/>
        <v>1.141539248036505E-3</v>
      </c>
      <c r="G434" s="16"/>
    </row>
    <row r="435" spans="2:7" x14ac:dyDescent="0.35">
      <c r="B435" s="43">
        <v>2433.25</v>
      </c>
      <c r="D435" s="43">
        <v>17213.599999999999</v>
      </c>
      <c r="E435" s="16">
        <f t="shared" si="12"/>
        <v>5.5512150993042297E-4</v>
      </c>
      <c r="F435" s="16">
        <f t="shared" si="13"/>
        <v>5.6091769622668153E-4</v>
      </c>
      <c r="G435" s="16"/>
    </row>
    <row r="436" spans="2:7" x14ac:dyDescent="0.35">
      <c r="B436" s="43">
        <v>2431.9</v>
      </c>
      <c r="D436" s="43">
        <v>17203.95</v>
      </c>
      <c r="E436" s="16">
        <f t="shared" si="12"/>
        <v>-1.2265951829738775E-2</v>
      </c>
      <c r="F436" s="16">
        <f t="shared" si="13"/>
        <v>-8.6492778342807108E-3</v>
      </c>
      <c r="G436" s="16"/>
    </row>
    <row r="437" spans="2:7" x14ac:dyDescent="0.35">
      <c r="B437" s="43">
        <v>2462.1</v>
      </c>
      <c r="D437" s="43">
        <v>17354.05</v>
      </c>
      <c r="E437" s="16">
        <f t="shared" si="12"/>
        <v>-5.8548009367681564E-3</v>
      </c>
      <c r="F437" s="16">
        <f t="shared" si="13"/>
        <v>-1.5412153843535337E-2</v>
      </c>
      <c r="G437" s="16"/>
    </row>
    <row r="438" spans="2:7" x14ac:dyDescent="0.35">
      <c r="B438" s="43">
        <v>2476.6</v>
      </c>
      <c r="D438" s="43">
        <v>17625.7</v>
      </c>
      <c r="E438" s="16">
        <f t="shared" si="12"/>
        <v>-3.3401746549157618E-3</v>
      </c>
      <c r="F438" s="16">
        <f t="shared" si="13"/>
        <v>-1.0084104407407923E-2</v>
      </c>
      <c r="G438" s="16"/>
    </row>
    <row r="439" spans="2:7" x14ac:dyDescent="0.35">
      <c r="B439" s="43">
        <v>2484.9</v>
      </c>
      <c r="D439" s="43">
        <v>17805.25</v>
      </c>
      <c r="E439" s="16">
        <f t="shared" si="12"/>
        <v>-8.4197924980047301E-3</v>
      </c>
      <c r="F439" s="16">
        <f t="shared" si="13"/>
        <v>-6.6944673017113043E-3</v>
      </c>
      <c r="G439" s="16"/>
    </row>
    <row r="440" spans="2:7" x14ac:dyDescent="0.35">
      <c r="B440" s="43">
        <v>2506</v>
      </c>
      <c r="D440" s="43">
        <v>17925.25</v>
      </c>
      <c r="E440" s="16">
        <f t="shared" si="12"/>
        <v>4.0064102564103532E-3</v>
      </c>
      <c r="F440" s="16">
        <f t="shared" si="13"/>
        <v>1.0106559825086237E-2</v>
      </c>
      <c r="G440" s="16"/>
    </row>
    <row r="441" spans="2:7" x14ac:dyDescent="0.35">
      <c r="B441" s="43">
        <v>2496</v>
      </c>
      <c r="D441" s="43">
        <v>17745.900000000001</v>
      </c>
      <c r="E441" s="16">
        <f t="shared" si="12"/>
        <v>-1.240446560761832E-3</v>
      </c>
      <c r="F441" s="16">
        <f t="shared" si="13"/>
        <v>-3.7501333318362695E-3</v>
      </c>
      <c r="G441" s="16"/>
    </row>
    <row r="442" spans="2:7" x14ac:dyDescent="0.35">
      <c r="B442" s="43">
        <v>2499.1</v>
      </c>
      <c r="D442" s="43">
        <v>17812.7</v>
      </c>
      <c r="E442" s="16">
        <f t="shared" si="12"/>
        <v>-3.0642721383964955E-2</v>
      </c>
      <c r="F442" s="16">
        <f t="shared" si="13"/>
        <v>-1.0586947948431624E-2</v>
      </c>
      <c r="G442" s="16"/>
    </row>
    <row r="443" spans="2:7" x14ac:dyDescent="0.35">
      <c r="B443" s="43">
        <v>2578.1</v>
      </c>
      <c r="D443" s="43">
        <v>18003.3</v>
      </c>
      <c r="E443" s="16">
        <f t="shared" si="12"/>
        <v>3.8352964080599072E-3</v>
      </c>
      <c r="F443" s="16">
        <f t="shared" si="13"/>
        <v>-2.9048917934730856E-3</v>
      </c>
      <c r="G443" s="16"/>
    </row>
    <row r="444" spans="2:7" x14ac:dyDescent="0.35">
      <c r="B444" s="43">
        <v>2568.25</v>
      </c>
      <c r="D444" s="43">
        <v>18055.75</v>
      </c>
      <c r="E444" s="16">
        <f t="shared" si="12"/>
        <v>-8.5890754680563175E-3</v>
      </c>
      <c r="F444" s="16">
        <f t="shared" si="13"/>
        <v>-8.5985608666645508E-3</v>
      </c>
      <c r="G444" s="16"/>
    </row>
    <row r="445" spans="2:7" x14ac:dyDescent="0.35">
      <c r="B445" s="43">
        <v>2590.5</v>
      </c>
      <c r="D445" s="43">
        <v>18212.349999999999</v>
      </c>
      <c r="E445" s="16">
        <f t="shared" si="12"/>
        <v>-1.1952498457741267E-3</v>
      </c>
      <c r="F445" s="16">
        <f t="shared" si="13"/>
        <v>-2.4893470188084299E-3</v>
      </c>
      <c r="G445" s="16"/>
    </row>
    <row r="446" spans="2:7" x14ac:dyDescent="0.35">
      <c r="B446" s="43">
        <v>2593.6</v>
      </c>
      <c r="D446" s="43">
        <v>18257.8</v>
      </c>
      <c r="E446" s="16">
        <f t="shared" si="12"/>
        <v>9.3006965793673846E-3</v>
      </c>
      <c r="F446" s="16">
        <f t="shared" si="13"/>
        <v>1.1229338701501668E-4</v>
      </c>
      <c r="G446" s="16"/>
    </row>
    <row r="447" spans="2:7" x14ac:dyDescent="0.35">
      <c r="B447" s="43">
        <v>2569.6999999999998</v>
      </c>
      <c r="D447" s="43">
        <v>18255.75</v>
      </c>
      <c r="E447" s="16">
        <f t="shared" si="12"/>
        <v>-4.8787710531186468E-2</v>
      </c>
      <c r="F447" s="16">
        <f t="shared" si="13"/>
        <v>-2.8593901060185445E-3</v>
      </c>
      <c r="G447" s="16"/>
    </row>
    <row r="448" spans="2:7" x14ac:dyDescent="0.35">
      <c r="B448" s="43">
        <v>2701.5</v>
      </c>
      <c r="D448" s="43">
        <v>18308.099999999999</v>
      </c>
      <c r="E448" s="16">
        <f t="shared" si="12"/>
        <v>3.2122101119631541E-3</v>
      </c>
      <c r="F448" s="16">
        <f t="shared" si="13"/>
        <v>1.0768479080000226E-2</v>
      </c>
      <c r="G448" s="16"/>
    </row>
    <row r="449" spans="2:7" x14ac:dyDescent="0.35">
      <c r="B449" s="43">
        <v>2692.85</v>
      </c>
      <c r="D449" s="43">
        <v>18113.05</v>
      </c>
      <c r="E449" s="16">
        <f t="shared" si="12"/>
        <v>-2.574264760352718E-3</v>
      </c>
      <c r="F449" s="16">
        <f t="shared" si="13"/>
        <v>9.736096864826127E-3</v>
      </c>
      <c r="G449" s="16"/>
    </row>
    <row r="450" spans="2:7" x14ac:dyDescent="0.35">
      <c r="B450" s="43">
        <v>2699.8</v>
      </c>
      <c r="D450" s="43">
        <v>17938.400000000001</v>
      </c>
      <c r="E450" s="16">
        <f t="shared" si="12"/>
        <v>-3.5616084445181384E-3</v>
      </c>
      <c r="F450" s="16">
        <f t="shared" si="13"/>
        <v>1.0215689587205201E-2</v>
      </c>
      <c r="G450" s="16"/>
    </row>
    <row r="451" spans="2:7" x14ac:dyDescent="0.35">
      <c r="B451" s="43">
        <v>2709.45</v>
      </c>
      <c r="D451" s="43">
        <v>17757</v>
      </c>
      <c r="E451" s="16">
        <f t="shared" si="12"/>
        <v>-1.4781280680702502E-2</v>
      </c>
      <c r="F451" s="16">
        <f t="shared" si="13"/>
        <v>7.9382874074409582E-3</v>
      </c>
      <c r="G451" s="16"/>
    </row>
    <row r="452" spans="2:7" x14ac:dyDescent="0.35">
      <c r="B452" s="43">
        <v>2750.1</v>
      </c>
      <c r="D452" s="43">
        <v>17617.150000000001</v>
      </c>
      <c r="E452" s="16">
        <f t="shared" ref="E452:E515" si="14">B452/B453-1</f>
        <v>1.6222008720715442E-2</v>
      </c>
      <c r="F452" s="16">
        <f t="shared" ref="F452:F515" si="15">D452/D453-1</f>
        <v>2.7292977474036695E-2</v>
      </c>
      <c r="G452" s="16"/>
    </row>
    <row r="453" spans="2:7" x14ac:dyDescent="0.35">
      <c r="B453" s="43">
        <v>2706.2</v>
      </c>
      <c r="D453" s="43">
        <v>17149.099999999999</v>
      </c>
      <c r="E453" s="16">
        <f t="shared" si="14"/>
        <v>-2.7264067863625896E-2</v>
      </c>
      <c r="F453" s="16">
        <f t="shared" si="15"/>
        <v>-7.457481935067678E-3</v>
      </c>
      <c r="G453" s="16"/>
    </row>
    <row r="454" spans="2:7" x14ac:dyDescent="0.35">
      <c r="B454" s="43">
        <v>2782.05</v>
      </c>
      <c r="D454" s="43">
        <v>17277.95</v>
      </c>
      <c r="E454" s="16">
        <f t="shared" si="14"/>
        <v>2.4696132596685239E-2</v>
      </c>
      <c r="F454" s="16">
        <f t="shared" si="15"/>
        <v>9.8070443567122023E-3</v>
      </c>
      <c r="G454" s="16"/>
    </row>
    <row r="455" spans="2:7" x14ac:dyDescent="0.35">
      <c r="B455" s="43">
        <v>2715</v>
      </c>
      <c r="D455" s="43">
        <v>17110.150000000001</v>
      </c>
      <c r="E455" s="16">
        <f t="shared" si="14"/>
        <v>1.6035776434706106E-2</v>
      </c>
      <c r="F455" s="16">
        <f t="shared" si="15"/>
        <v>4.7947748648557997E-4</v>
      </c>
      <c r="G455" s="16"/>
    </row>
    <row r="456" spans="2:7" x14ac:dyDescent="0.35">
      <c r="B456" s="43">
        <v>2672.15</v>
      </c>
      <c r="D456" s="43">
        <v>17101.95</v>
      </c>
      <c r="E456" s="16">
        <f t="shared" si="14"/>
        <v>-1.9142532026575676E-2</v>
      </c>
      <c r="F456" s="16">
        <f t="shared" si="15"/>
        <v>-1.3719841867144034E-2</v>
      </c>
      <c r="G456" s="16"/>
    </row>
    <row r="457" spans="2:7" x14ac:dyDescent="0.35">
      <c r="B457" s="43">
        <v>2724.3</v>
      </c>
      <c r="D457" s="43">
        <v>17339.849999999999</v>
      </c>
      <c r="E457" s="16">
        <f t="shared" si="14"/>
        <v>-8.9850554689641093E-4</v>
      </c>
      <c r="F457" s="16">
        <f t="shared" si="15"/>
        <v>-1.3483644680360785E-2</v>
      </c>
      <c r="G457" s="16"/>
    </row>
    <row r="458" spans="2:7" x14ac:dyDescent="0.35">
      <c r="B458" s="43">
        <v>2726.75</v>
      </c>
      <c r="D458" s="43">
        <v>17576.849999999999</v>
      </c>
      <c r="E458" s="16">
        <f t="shared" si="14"/>
        <v>9.0105091770278367E-3</v>
      </c>
      <c r="F458" s="16">
        <f t="shared" si="15"/>
        <v>-1.1425759280090042E-2</v>
      </c>
      <c r="G458" s="16"/>
    </row>
    <row r="459" spans="2:7" x14ac:dyDescent="0.35">
      <c r="B459" s="43">
        <v>2702.4</v>
      </c>
      <c r="D459" s="43">
        <v>17780</v>
      </c>
      <c r="E459" s="16">
        <f t="shared" si="14"/>
        <v>-2.843789322308099E-2</v>
      </c>
      <c r="F459" s="16">
        <f t="shared" si="15"/>
        <v>1.2516941720481567E-2</v>
      </c>
      <c r="G459" s="16"/>
    </row>
    <row r="460" spans="2:7" x14ac:dyDescent="0.35">
      <c r="B460" s="43">
        <v>2781.5</v>
      </c>
      <c r="D460" s="43">
        <v>17560.2</v>
      </c>
      <c r="E460" s="16">
        <f t="shared" si="14"/>
        <v>2.1952787728483525E-2</v>
      </c>
      <c r="F460" s="16">
        <f t="shared" si="15"/>
        <v>2.5062370477784146E-3</v>
      </c>
      <c r="G460" s="16"/>
    </row>
    <row r="461" spans="2:7" x14ac:dyDescent="0.35">
      <c r="B461" s="43">
        <v>2721.75</v>
      </c>
      <c r="D461" s="43">
        <v>17516.3</v>
      </c>
      <c r="E461" s="16">
        <f t="shared" si="14"/>
        <v>2.7831800759049008E-2</v>
      </c>
      <c r="F461" s="16">
        <f t="shared" si="15"/>
        <v>1.7584932843798029E-2</v>
      </c>
      <c r="G461" s="16"/>
    </row>
    <row r="462" spans="2:7" x14ac:dyDescent="0.35">
      <c r="B462" s="43">
        <v>2648.05</v>
      </c>
      <c r="D462" s="43">
        <v>17213.599999999999</v>
      </c>
      <c r="E462" s="16">
        <f t="shared" si="14"/>
        <v>-8.9447781582737695E-3</v>
      </c>
      <c r="F462" s="16">
        <f t="shared" si="15"/>
        <v>-3.07817047215031E-3</v>
      </c>
      <c r="G462" s="16"/>
    </row>
    <row r="463" spans="2:7" x14ac:dyDescent="0.35">
      <c r="B463" s="43">
        <v>2671.95</v>
      </c>
      <c r="D463" s="43">
        <v>17266.75</v>
      </c>
      <c r="E463" s="16">
        <f t="shared" si="14"/>
        <v>-2.0851274346336379E-2</v>
      </c>
      <c r="F463" s="16">
        <f t="shared" si="15"/>
        <v>-1.1283340395561114E-2</v>
      </c>
      <c r="G463" s="16"/>
    </row>
    <row r="464" spans="2:7" x14ac:dyDescent="0.35">
      <c r="B464" s="43">
        <v>2728.85</v>
      </c>
      <c r="D464" s="43">
        <v>17463.8</v>
      </c>
      <c r="E464" s="16">
        <f t="shared" si="14"/>
        <v>-1.9201931165648833E-3</v>
      </c>
      <c r="F464" s="16">
        <f t="shared" si="15"/>
        <v>-8.0683409207734647E-3</v>
      </c>
      <c r="G464" s="16"/>
    </row>
    <row r="465" spans="2:7" x14ac:dyDescent="0.35">
      <c r="B465" s="43">
        <v>2734.1</v>
      </c>
      <c r="D465" s="43">
        <v>17605.849999999999</v>
      </c>
      <c r="E465" s="16">
        <f t="shared" si="14"/>
        <v>5.7014639888177676E-3</v>
      </c>
      <c r="F465" s="16">
        <f t="shared" si="15"/>
        <v>1.3300910804471933E-2</v>
      </c>
      <c r="G465" s="16"/>
    </row>
    <row r="466" spans="2:7" x14ac:dyDescent="0.35">
      <c r="B466" s="43">
        <v>2718.6</v>
      </c>
      <c r="D466" s="43">
        <v>17374.75</v>
      </c>
      <c r="E466" s="16">
        <f t="shared" si="14"/>
        <v>2.6467811969039134E-2</v>
      </c>
      <c r="F466" s="16">
        <f t="shared" si="15"/>
        <v>3.1583228441826927E-2</v>
      </c>
      <c r="G466" s="16"/>
    </row>
    <row r="467" spans="2:7" x14ac:dyDescent="0.35">
      <c r="B467" s="43">
        <v>2648.5</v>
      </c>
      <c r="D467" s="43">
        <v>16842.8</v>
      </c>
      <c r="E467" s="16">
        <f t="shared" si="14"/>
        <v>-4.6839292462166893E-2</v>
      </c>
      <c r="F467" s="16">
        <f t="shared" si="15"/>
        <v>-2.9370492351224242E-2</v>
      </c>
      <c r="G467" s="16"/>
    </row>
    <row r="468" spans="2:7" x14ac:dyDescent="0.35">
      <c r="B468" s="43">
        <v>2778.65</v>
      </c>
      <c r="D468" s="43">
        <v>17352.45</v>
      </c>
      <c r="E468" s="16">
        <f t="shared" si="14"/>
        <v>-2.924501220037401E-3</v>
      </c>
      <c r="F468" s="16">
        <f t="shared" si="15"/>
        <v>1.7463139785940385E-3</v>
      </c>
      <c r="G468" s="16"/>
    </row>
    <row r="469" spans="2:7" x14ac:dyDescent="0.35">
      <c r="B469" s="43">
        <v>2786.8</v>
      </c>
      <c r="D469" s="43">
        <v>17322.2</v>
      </c>
      <c r="E469" s="16">
        <f t="shared" si="14"/>
        <v>-2.3805688306572925E-3</v>
      </c>
      <c r="F469" s="16">
        <f t="shared" si="15"/>
        <v>1.0170706055039336E-3</v>
      </c>
      <c r="G469" s="16"/>
    </row>
    <row r="470" spans="2:7" x14ac:dyDescent="0.35">
      <c r="B470" s="43">
        <v>2793.45</v>
      </c>
      <c r="D470" s="43">
        <v>17304.599999999999</v>
      </c>
      <c r="E470" s="16">
        <f t="shared" si="14"/>
        <v>6.993385122834761E-3</v>
      </c>
      <c r="F470" s="16">
        <f t="shared" si="15"/>
        <v>1.6380822282549001E-3</v>
      </c>
      <c r="G470" s="16"/>
    </row>
    <row r="471" spans="2:7" x14ac:dyDescent="0.35">
      <c r="B471" s="43">
        <v>2774.05</v>
      </c>
      <c r="D471" s="43">
        <v>17276.3</v>
      </c>
      <c r="E471" s="16">
        <f t="shared" si="14"/>
        <v>2.2370869957801354E-2</v>
      </c>
      <c r="F471" s="16">
        <f t="shared" si="15"/>
        <v>4.0478535914891811E-3</v>
      </c>
      <c r="G471" s="16"/>
    </row>
    <row r="472" spans="2:7" x14ac:dyDescent="0.35">
      <c r="B472" s="43">
        <v>2713.35</v>
      </c>
      <c r="D472" s="43">
        <v>17206.650000000001</v>
      </c>
      <c r="E472" s="16">
        <f t="shared" si="14"/>
        <v>-6.4628341266935729E-3</v>
      </c>
      <c r="F472" s="16">
        <f t="shared" si="15"/>
        <v>6.6960367887107797E-3</v>
      </c>
      <c r="G472" s="16"/>
    </row>
    <row r="473" spans="2:7" x14ac:dyDescent="0.35">
      <c r="B473" s="43">
        <v>2731</v>
      </c>
      <c r="D473" s="43">
        <v>17092.2</v>
      </c>
      <c r="E473" s="16">
        <f t="shared" si="14"/>
        <v>2.2597494991855926E-2</v>
      </c>
      <c r="F473" s="16">
        <f t="shared" si="15"/>
        <v>1.6966287196167329E-3</v>
      </c>
      <c r="G473" s="16"/>
    </row>
    <row r="474" spans="2:7" x14ac:dyDescent="0.35">
      <c r="B474" s="43">
        <v>2670.65</v>
      </c>
      <c r="D474" s="43">
        <v>17063.25</v>
      </c>
      <c r="E474" s="16">
        <f t="shared" si="14"/>
        <v>7.2377931256023098E-2</v>
      </c>
      <c r="F474" s="16">
        <f t="shared" si="15"/>
        <v>5.0178637920476055E-2</v>
      </c>
      <c r="G474" s="16"/>
    </row>
    <row r="475" spans="2:7" x14ac:dyDescent="0.35">
      <c r="B475" s="43">
        <v>2490.4</v>
      </c>
      <c r="D475" s="43">
        <v>16247.95</v>
      </c>
      <c r="E475" s="16">
        <f t="shared" si="14"/>
        <v>-2.657911194496565E-2</v>
      </c>
      <c r="F475" s="16">
        <f t="shared" si="15"/>
        <v>-2.463922105364269E-2</v>
      </c>
      <c r="G475" s="16"/>
    </row>
    <row r="476" spans="2:7" x14ac:dyDescent="0.35">
      <c r="B476" s="43">
        <v>2558.4</v>
      </c>
      <c r="D476" s="43">
        <v>16658.400000000001</v>
      </c>
      <c r="E476" s="16">
        <f t="shared" si="14"/>
        <v>9.0516476365143372E-3</v>
      </c>
      <c r="F476" s="16">
        <f t="shared" si="15"/>
        <v>-8.0684057901976303E-3</v>
      </c>
      <c r="G476" s="16"/>
    </row>
    <row r="477" spans="2:7" x14ac:dyDescent="0.35">
      <c r="B477" s="43">
        <v>2535.4499999999998</v>
      </c>
      <c r="D477" s="43">
        <v>16793.900000000001</v>
      </c>
      <c r="E477" s="16">
        <f t="shared" si="14"/>
        <v>4.4986192968717642E-2</v>
      </c>
      <c r="F477" s="16">
        <f t="shared" si="15"/>
        <v>1.1318232320343125E-2</v>
      </c>
      <c r="G477" s="16"/>
    </row>
    <row r="478" spans="2:7" x14ac:dyDescent="0.35">
      <c r="B478" s="43">
        <v>2426.3000000000002</v>
      </c>
      <c r="D478" s="43">
        <v>16605.95</v>
      </c>
      <c r="E478" s="16">
        <f t="shared" si="14"/>
        <v>3.6816414329445823E-3</v>
      </c>
      <c r="F478" s="16">
        <f t="shared" si="15"/>
        <v>6.5401668682056879E-3</v>
      </c>
      <c r="G478" s="16"/>
    </row>
    <row r="479" spans="2:7" x14ac:dyDescent="0.35">
      <c r="B479" s="43">
        <v>2417.4</v>
      </c>
      <c r="D479" s="43">
        <v>16498.05</v>
      </c>
      <c r="E479" s="16">
        <f t="shared" si="14"/>
        <v>4.5904902003201631E-2</v>
      </c>
      <c r="F479" s="16">
        <f t="shared" si="15"/>
        <v>1.5555220416919147E-2</v>
      </c>
      <c r="G479" s="16"/>
    </row>
    <row r="480" spans="2:7" x14ac:dyDescent="0.35">
      <c r="B480" s="43">
        <v>2311.3000000000002</v>
      </c>
      <c r="D480" s="43">
        <v>16245.35</v>
      </c>
      <c r="E480" s="16">
        <f t="shared" si="14"/>
        <v>5.1212079865375237E-2</v>
      </c>
      <c r="F480" s="16">
        <f t="shared" si="15"/>
        <v>2.4093575361766151E-2</v>
      </c>
      <c r="G480" s="16"/>
    </row>
    <row r="481" spans="2:7" x14ac:dyDescent="0.35">
      <c r="B481" s="43">
        <v>2198.6999999999998</v>
      </c>
      <c r="D481" s="43">
        <v>15863.15</v>
      </c>
      <c r="E481" s="16">
        <f t="shared" si="14"/>
        <v>-2.3516088201985363E-2</v>
      </c>
      <c r="F481" s="16">
        <f t="shared" si="15"/>
        <v>-9.3858600114279378E-3</v>
      </c>
      <c r="G481" s="16"/>
    </row>
    <row r="482" spans="2:7" x14ac:dyDescent="0.35">
      <c r="B482" s="43">
        <v>2251.65</v>
      </c>
      <c r="D482" s="43">
        <v>16013.45</v>
      </c>
      <c r="E482" s="16">
        <f t="shared" si="14"/>
        <v>-1.696136214800259E-2</v>
      </c>
      <c r="F482" s="16">
        <f t="shared" si="15"/>
        <v>-2.0305469139541232E-2</v>
      </c>
      <c r="G482" s="16"/>
    </row>
    <row r="483" spans="2:7" x14ac:dyDescent="0.35">
      <c r="B483" s="43">
        <v>2290.5</v>
      </c>
      <c r="D483" s="43">
        <v>16345.35</v>
      </c>
      <c r="E483" s="16">
        <f t="shared" si="14"/>
        <v>-1.303457933857588E-2</v>
      </c>
      <c r="F483" s="16">
        <f t="shared" si="15"/>
        <v>-1.5037752562534368E-2</v>
      </c>
      <c r="G483" s="16"/>
    </row>
    <row r="484" spans="2:7" x14ac:dyDescent="0.35">
      <c r="B484" s="43">
        <v>2320.75</v>
      </c>
      <c r="D484" s="43">
        <v>16594.900000000001</v>
      </c>
      <c r="E484" s="16">
        <f t="shared" si="14"/>
        <v>-4.4826698695950018E-3</v>
      </c>
      <c r="F484" s="16">
        <f t="shared" si="15"/>
        <v>-2.1376451028083387E-3</v>
      </c>
      <c r="G484" s="16"/>
    </row>
    <row r="485" spans="2:7" x14ac:dyDescent="0.35">
      <c r="B485" s="43">
        <v>2331.1999999999998</v>
      </c>
      <c r="D485" s="43">
        <v>16630.45</v>
      </c>
      <c r="E485" s="16">
        <f t="shared" si="14"/>
        <v>-4.5689397497759021E-3</v>
      </c>
      <c r="F485" s="16">
        <f t="shared" si="15"/>
        <v>-1.427572267697208E-2</v>
      </c>
      <c r="G485" s="16"/>
    </row>
    <row r="486" spans="2:7" x14ac:dyDescent="0.35">
      <c r="B486" s="43">
        <v>2341.9</v>
      </c>
      <c r="D486" s="43">
        <v>16871.3</v>
      </c>
      <c r="E486" s="16">
        <f t="shared" si="14"/>
        <v>1.0136300897170436E-2</v>
      </c>
      <c r="F486" s="16">
        <f t="shared" si="15"/>
        <v>1.2500750165036267E-2</v>
      </c>
      <c r="G486" s="16"/>
    </row>
    <row r="487" spans="2:7" x14ac:dyDescent="0.35">
      <c r="B487" s="43">
        <v>2318.4</v>
      </c>
      <c r="D487" s="43">
        <v>16663</v>
      </c>
      <c r="E487" s="16">
        <f t="shared" si="14"/>
        <v>-2.1565731166912849E-2</v>
      </c>
      <c r="F487" s="16">
        <f t="shared" si="15"/>
        <v>-1.8400209715852656E-2</v>
      </c>
      <c r="G487" s="16"/>
    </row>
    <row r="488" spans="2:7" x14ac:dyDescent="0.35">
      <c r="B488" s="43">
        <v>2369.5</v>
      </c>
      <c r="D488" s="43">
        <v>16975.349999999999</v>
      </c>
      <c r="E488" s="16">
        <f t="shared" si="14"/>
        <v>-2.082730691350887E-2</v>
      </c>
      <c r="F488" s="16">
        <f t="shared" si="15"/>
        <v>-1.803083811292272E-2</v>
      </c>
      <c r="G488" s="16"/>
    </row>
    <row r="489" spans="2:7" x14ac:dyDescent="0.35">
      <c r="B489" s="43">
        <v>2419.9</v>
      </c>
      <c r="D489" s="43">
        <v>17287.05</v>
      </c>
      <c r="E489" s="16">
        <f t="shared" si="14"/>
        <v>1.1854236792038675E-2</v>
      </c>
      <c r="F489" s="16">
        <f t="shared" si="15"/>
        <v>9.8991681076787685E-3</v>
      </c>
      <c r="G489" s="16"/>
    </row>
    <row r="490" spans="2:7" x14ac:dyDescent="0.35">
      <c r="B490" s="43">
        <v>2391.5500000000002</v>
      </c>
      <c r="D490" s="43">
        <v>17117.599999999999</v>
      </c>
      <c r="E490" s="16">
        <f t="shared" si="14"/>
        <v>-1.3244486621418083E-2</v>
      </c>
      <c r="F490" s="16">
        <f t="shared" si="15"/>
        <v>-1.1429066443360059E-2</v>
      </c>
      <c r="G490" s="16"/>
    </row>
    <row r="491" spans="2:7" x14ac:dyDescent="0.35">
      <c r="B491" s="43">
        <v>2423.65</v>
      </c>
      <c r="D491" s="43">
        <v>17315.5</v>
      </c>
      <c r="E491" s="16">
        <f t="shared" si="14"/>
        <v>1.2110329275677012E-2</v>
      </c>
      <c r="F491" s="16">
        <f t="shared" si="15"/>
        <v>4.0502967414970392E-3</v>
      </c>
      <c r="G491" s="16"/>
    </row>
    <row r="492" spans="2:7" x14ac:dyDescent="0.35">
      <c r="B492" s="43">
        <v>2394.65</v>
      </c>
      <c r="D492" s="43">
        <v>17245.650000000001</v>
      </c>
      <c r="E492" s="16">
        <f t="shared" si="14"/>
        <v>-7.2549385403063438E-3</v>
      </c>
      <c r="F492" s="16">
        <f t="shared" si="15"/>
        <v>1.3296366724246944E-3</v>
      </c>
      <c r="G492" s="16"/>
    </row>
    <row r="493" spans="2:7" x14ac:dyDescent="0.35">
      <c r="B493" s="43">
        <v>2412.15</v>
      </c>
      <c r="D493" s="43">
        <v>17222.75</v>
      </c>
      <c r="E493" s="16">
        <f t="shared" si="14"/>
        <v>1.4190211907164407E-2</v>
      </c>
      <c r="F493" s="16">
        <f t="shared" si="15"/>
        <v>4.066344079752815E-3</v>
      </c>
      <c r="G493" s="16"/>
    </row>
    <row r="494" spans="2:7" x14ac:dyDescent="0.35">
      <c r="B494" s="43">
        <v>2378.4</v>
      </c>
      <c r="D494" s="43">
        <v>17153</v>
      </c>
      <c r="E494" s="16">
        <f t="shared" si="14"/>
        <v>1.8923862991249152E-4</v>
      </c>
      <c r="F494" s="16">
        <f t="shared" si="15"/>
        <v>-4.0065033097200775E-3</v>
      </c>
      <c r="G494" s="16"/>
    </row>
    <row r="495" spans="2:7" x14ac:dyDescent="0.35">
      <c r="B495" s="43">
        <v>2377.9499999999998</v>
      </c>
      <c r="D495" s="43">
        <v>17222</v>
      </c>
      <c r="E495" s="16">
        <f t="shared" si="14"/>
        <v>7.5679098907561082E-2</v>
      </c>
      <c r="F495" s="16">
        <f t="shared" si="15"/>
        <v>-5.9623787178287868E-3</v>
      </c>
      <c r="G495" s="16"/>
    </row>
    <row r="496" spans="2:7" x14ac:dyDescent="0.35">
      <c r="B496" s="43">
        <v>2210.65</v>
      </c>
      <c r="D496" s="43">
        <v>17325.3</v>
      </c>
      <c r="E496" s="16">
        <f t="shared" si="14"/>
        <v>-2.6852728193163533E-2</v>
      </c>
      <c r="F496" s="16">
        <f t="shared" si="15"/>
        <v>-9.8838455274099513E-3</v>
      </c>
      <c r="G496" s="16"/>
    </row>
    <row r="497" spans="2:7" x14ac:dyDescent="0.35">
      <c r="B497" s="43">
        <v>2271.65</v>
      </c>
      <c r="D497" s="43">
        <v>17498.25</v>
      </c>
      <c r="E497" s="16">
        <f t="shared" si="14"/>
        <v>-9.8075539960333913E-3</v>
      </c>
      <c r="F497" s="16">
        <f t="shared" si="15"/>
        <v>1.9181494152507028E-3</v>
      </c>
      <c r="G497" s="16"/>
    </row>
    <row r="498" spans="2:7" x14ac:dyDescent="0.35">
      <c r="B498" s="43">
        <v>2294.15</v>
      </c>
      <c r="D498" s="43">
        <v>17464.75</v>
      </c>
      <c r="E498" s="16">
        <f t="shared" si="14"/>
        <v>2.4105528647635266E-2</v>
      </c>
      <c r="F498" s="16">
        <f t="shared" si="15"/>
        <v>-1.1640903315987994E-2</v>
      </c>
      <c r="G498" s="16"/>
    </row>
    <row r="499" spans="2:7" x14ac:dyDescent="0.35">
      <c r="B499" s="43">
        <v>2240.15</v>
      </c>
      <c r="D499" s="43">
        <v>17670.45</v>
      </c>
      <c r="E499" s="16">
        <f t="shared" si="14"/>
        <v>-3.0972207202335844E-2</v>
      </c>
      <c r="F499" s="16">
        <f t="shared" si="15"/>
        <v>-2.1212070856459264E-2</v>
      </c>
      <c r="G499" s="16"/>
    </row>
    <row r="500" spans="2:7" x14ac:dyDescent="0.35">
      <c r="B500" s="43">
        <v>2311.75</v>
      </c>
      <c r="D500" s="43">
        <v>18053.400000000001</v>
      </c>
      <c r="E500" s="16">
        <f t="shared" si="14"/>
        <v>-8.7897952620860087E-3</v>
      </c>
      <c r="F500" s="16">
        <f t="shared" si="15"/>
        <v>5.3459854990143274E-3</v>
      </c>
      <c r="G500" s="16"/>
    </row>
    <row r="501" spans="2:7" x14ac:dyDescent="0.35">
      <c r="B501" s="43">
        <v>2332.25</v>
      </c>
      <c r="D501" s="43">
        <v>17957.400000000001</v>
      </c>
      <c r="E501" s="16">
        <f t="shared" si="14"/>
        <v>-6.2422770463164134E-3</v>
      </c>
      <c r="F501" s="16">
        <f t="shared" si="15"/>
        <v>8.4093072359350263E-3</v>
      </c>
      <c r="G501" s="16"/>
    </row>
    <row r="502" spans="2:7" x14ac:dyDescent="0.35">
      <c r="B502" s="43">
        <v>2346.9</v>
      </c>
      <c r="D502" s="43">
        <v>17807.650000000001</v>
      </c>
      <c r="E502" s="16">
        <f t="shared" si="14"/>
        <v>-1.5740661958647539E-3</v>
      </c>
      <c r="F502" s="16">
        <f t="shared" si="15"/>
        <v>9.529721563191984E-3</v>
      </c>
      <c r="G502" s="16"/>
    </row>
    <row r="503" spans="2:7" x14ac:dyDescent="0.35">
      <c r="B503" s="43">
        <v>2350.6</v>
      </c>
      <c r="D503" s="43">
        <v>17639.55</v>
      </c>
      <c r="E503" s="16">
        <f t="shared" si="14"/>
        <v>-5.0159791741624105E-3</v>
      </c>
      <c r="F503" s="16">
        <f t="shared" si="15"/>
        <v>-8.1419900080688112E-3</v>
      </c>
      <c r="G503" s="16"/>
    </row>
    <row r="504" spans="2:7" x14ac:dyDescent="0.35">
      <c r="B504" s="43">
        <v>2362.4499999999998</v>
      </c>
      <c r="D504" s="43">
        <v>17784.349999999999</v>
      </c>
      <c r="E504" s="16">
        <f t="shared" si="14"/>
        <v>1.1582598270103439E-2</v>
      </c>
      <c r="F504" s="16">
        <f t="shared" si="15"/>
        <v>6.1895507483753498E-3</v>
      </c>
      <c r="G504" s="16"/>
    </row>
    <row r="505" spans="2:7" x14ac:dyDescent="0.35">
      <c r="B505" s="43">
        <v>2335.4</v>
      </c>
      <c r="D505" s="43">
        <v>17674.95</v>
      </c>
      <c r="E505" s="16">
        <f t="shared" si="14"/>
        <v>1.6319248009051712E-2</v>
      </c>
      <c r="F505" s="16">
        <f t="shared" si="15"/>
        <v>8.2514275283367411E-3</v>
      </c>
      <c r="G505" s="16"/>
    </row>
    <row r="506" spans="2:7" x14ac:dyDescent="0.35">
      <c r="B506" s="43">
        <v>2297.9</v>
      </c>
      <c r="D506" s="43">
        <v>17530.3</v>
      </c>
      <c r="E506" s="16">
        <f t="shared" si="14"/>
        <v>1.0332395357017132E-2</v>
      </c>
      <c r="F506" s="16">
        <f t="shared" si="15"/>
        <v>3.1272084300153491E-3</v>
      </c>
      <c r="G506" s="16"/>
    </row>
    <row r="507" spans="2:7" x14ac:dyDescent="0.35">
      <c r="B507" s="43">
        <v>2274.4</v>
      </c>
      <c r="D507" s="43">
        <v>17475.650000000001</v>
      </c>
      <c r="E507" s="16">
        <f t="shared" si="14"/>
        <v>-4.8131618097488893E-3</v>
      </c>
      <c r="F507" s="16">
        <f t="shared" si="15"/>
        <v>1.7585079467672848E-2</v>
      </c>
      <c r="G507" s="16"/>
    </row>
    <row r="508" spans="2:7" x14ac:dyDescent="0.35">
      <c r="B508" s="43">
        <v>2285.4</v>
      </c>
      <c r="D508" s="43">
        <v>17173.650000000001</v>
      </c>
      <c r="E508" s="16">
        <f t="shared" si="14"/>
        <v>9.7868110018779486E-3</v>
      </c>
      <c r="F508" s="16">
        <f t="shared" si="15"/>
        <v>1.2677895941009432E-2</v>
      </c>
      <c r="G508" s="16"/>
    </row>
    <row r="509" spans="2:7" x14ac:dyDescent="0.35">
      <c r="B509" s="43">
        <v>2263.25</v>
      </c>
      <c r="D509" s="43">
        <v>16958.650000000001</v>
      </c>
      <c r="E509" s="16">
        <f t="shared" si="14"/>
        <v>-5.09923731235018E-3</v>
      </c>
      <c r="F509" s="16">
        <f t="shared" si="15"/>
        <v>-1.0381319460451399E-2</v>
      </c>
      <c r="G509" s="16"/>
    </row>
    <row r="510" spans="2:7" x14ac:dyDescent="0.35">
      <c r="B510" s="43">
        <v>2274.85</v>
      </c>
      <c r="D510" s="43">
        <v>17136.55</v>
      </c>
      <c r="E510" s="16">
        <f t="shared" si="14"/>
        <v>-1.8466981640886337E-2</v>
      </c>
      <c r="F510" s="16">
        <f t="shared" si="15"/>
        <v>-1.4721778227521964E-2</v>
      </c>
      <c r="G510" s="16"/>
    </row>
    <row r="511" spans="2:7" x14ac:dyDescent="0.35">
      <c r="B511" s="43">
        <v>2317.65</v>
      </c>
      <c r="D511" s="43">
        <v>17392.599999999999</v>
      </c>
      <c r="E511" s="16">
        <f t="shared" si="14"/>
        <v>1.0199411572409334E-2</v>
      </c>
      <c r="F511" s="16">
        <f t="shared" si="15"/>
        <v>1.2849443423722962E-2</v>
      </c>
      <c r="G511" s="16"/>
    </row>
    <row r="512" spans="2:7" x14ac:dyDescent="0.35">
      <c r="B512" s="43">
        <v>2294.25</v>
      </c>
      <c r="D512" s="43">
        <v>17171.95</v>
      </c>
      <c r="E512" s="16">
        <f t="shared" si="14"/>
        <v>2.4687581927815838E-3</v>
      </c>
      <c r="F512" s="16">
        <f t="shared" si="15"/>
        <v>1.2858360441077243E-2</v>
      </c>
      <c r="G512" s="16"/>
    </row>
    <row r="513" spans="2:7" x14ac:dyDescent="0.35">
      <c r="B513" s="43">
        <v>2288.6</v>
      </c>
      <c r="D513" s="43">
        <v>16953.95</v>
      </c>
      <c r="E513" s="16">
        <f t="shared" si="14"/>
        <v>-4.9288607332017897E-2</v>
      </c>
      <c r="F513" s="16">
        <f t="shared" si="15"/>
        <v>-1.4351076694107179E-2</v>
      </c>
      <c r="G513" s="16"/>
    </row>
    <row r="514" spans="2:7" x14ac:dyDescent="0.35">
      <c r="B514" s="43">
        <v>2407.25</v>
      </c>
      <c r="D514" s="43">
        <v>17200.8</v>
      </c>
      <c r="E514" s="16">
        <f t="shared" si="14"/>
        <v>-3.7100000000000022E-2</v>
      </c>
      <c r="F514" s="16">
        <f t="shared" si="15"/>
        <v>9.5314114001312511E-3</v>
      </c>
      <c r="G514" s="16"/>
    </row>
    <row r="515" spans="2:7" x14ac:dyDescent="0.35">
      <c r="B515" s="43">
        <v>2500</v>
      </c>
      <c r="D515" s="43">
        <v>17038.400000000001</v>
      </c>
      <c r="E515" s="16">
        <f t="shared" si="14"/>
        <v>-6.872442696539971E-3</v>
      </c>
      <c r="F515" s="16">
        <f t="shared" si="15"/>
        <v>-1.1983148787622966E-2</v>
      </c>
      <c r="G515" s="16"/>
    </row>
    <row r="516" spans="2:7" x14ac:dyDescent="0.35">
      <c r="B516" s="43">
        <v>2517.3000000000002</v>
      </c>
      <c r="D516" s="43">
        <v>17245.05</v>
      </c>
      <c r="E516" s="16">
        <f t="shared" ref="E516:E579" si="16">B516/B517-1</f>
        <v>4.2486984620908608E-3</v>
      </c>
      <c r="F516" s="16">
        <f t="shared" ref="F516:F579" si="17">D516/D517-1</f>
        <v>8.3320908285606787E-3</v>
      </c>
      <c r="G516" s="16"/>
    </row>
    <row r="517" spans="2:7" x14ac:dyDescent="0.35">
      <c r="B517" s="43">
        <v>2506.65</v>
      </c>
      <c r="D517" s="43">
        <v>17102.55</v>
      </c>
      <c r="E517" s="16">
        <f t="shared" si="16"/>
        <v>7.7795199614039134E-3</v>
      </c>
      <c r="F517" s="16">
        <f t="shared" si="17"/>
        <v>1.959681529781987E-3</v>
      </c>
      <c r="G517" s="16"/>
    </row>
    <row r="518" spans="2:7" x14ac:dyDescent="0.35">
      <c r="B518" s="43">
        <v>2487.3000000000002</v>
      </c>
      <c r="D518" s="43">
        <v>17069.099999999999</v>
      </c>
      <c r="E518" s="16">
        <f t="shared" si="16"/>
        <v>3.2288856609255179E-2</v>
      </c>
      <c r="F518" s="16">
        <f t="shared" si="17"/>
        <v>2.3474600661965717E-2</v>
      </c>
      <c r="G518" s="16"/>
    </row>
    <row r="519" spans="2:7" x14ac:dyDescent="0.35">
      <c r="B519" s="43">
        <v>2409.5</v>
      </c>
      <c r="D519" s="43">
        <v>16677.599999999999</v>
      </c>
      <c r="E519" s="16">
        <f t="shared" si="16"/>
        <v>-3.6835688445625903E-2</v>
      </c>
      <c r="F519" s="16">
        <f t="shared" si="17"/>
        <v>-3.0270970139656406E-4</v>
      </c>
      <c r="G519" s="16"/>
    </row>
    <row r="520" spans="2:7" x14ac:dyDescent="0.35">
      <c r="B520" s="43">
        <v>2501.65</v>
      </c>
      <c r="D520" s="43">
        <v>16682.650000000001</v>
      </c>
      <c r="E520" s="16">
        <f t="shared" si="16"/>
        <v>-2.4070064563949445E-2</v>
      </c>
      <c r="F520" s="16">
        <f t="shared" si="17"/>
        <v>1.65374362099171E-2</v>
      </c>
      <c r="G520" s="16"/>
    </row>
    <row r="521" spans="2:7" x14ac:dyDescent="0.35">
      <c r="B521" s="43">
        <v>2563.35</v>
      </c>
      <c r="D521" s="43">
        <v>16411.25</v>
      </c>
      <c r="E521" s="16">
        <f t="shared" si="16"/>
        <v>2.8322134189148418E-2</v>
      </c>
      <c r="F521" s="16">
        <f t="shared" si="17"/>
        <v>6.7108947757463788E-3</v>
      </c>
      <c r="G521" s="16"/>
    </row>
    <row r="522" spans="2:7" x14ac:dyDescent="0.35">
      <c r="B522" s="43">
        <v>2492.75</v>
      </c>
      <c r="D522" s="43">
        <v>16301.85</v>
      </c>
      <c r="E522" s="16">
        <f t="shared" si="16"/>
        <v>9.3126834699868155E-3</v>
      </c>
      <c r="F522" s="16">
        <f t="shared" si="17"/>
        <v>3.8054070030573151E-3</v>
      </c>
      <c r="G522" s="16"/>
    </row>
    <row r="523" spans="2:7" x14ac:dyDescent="0.35">
      <c r="B523" s="43">
        <v>2469.75</v>
      </c>
      <c r="D523" s="43">
        <v>16240.05</v>
      </c>
      <c r="E523" s="16">
        <f t="shared" si="16"/>
        <v>-2.2264502287183685E-4</v>
      </c>
      <c r="F523" s="16">
        <f t="shared" si="17"/>
        <v>4.5122501871082132E-3</v>
      </c>
      <c r="G523" s="16"/>
    </row>
    <row r="524" spans="2:7" x14ac:dyDescent="0.35">
      <c r="B524" s="43">
        <v>2470.3000000000002</v>
      </c>
      <c r="D524" s="43">
        <v>16167.1</v>
      </c>
      <c r="E524" s="16">
        <f t="shared" si="16"/>
        <v>2.8777278027652953E-2</v>
      </c>
      <c r="F524" s="16">
        <f t="shared" si="17"/>
        <v>2.2716346153846212E-2</v>
      </c>
      <c r="G524" s="16"/>
    </row>
    <row r="525" spans="2:7" x14ac:dyDescent="0.35">
      <c r="B525" s="43">
        <v>2401.1999999999998</v>
      </c>
      <c r="D525" s="43">
        <v>15808</v>
      </c>
      <c r="E525" s="16">
        <f t="shared" si="16"/>
        <v>-1.9578221015454478E-2</v>
      </c>
      <c r="F525" s="16">
        <f t="shared" si="17"/>
        <v>1.6379263915247133E-3</v>
      </c>
      <c r="G525" s="16"/>
    </row>
    <row r="526" spans="2:7" x14ac:dyDescent="0.35">
      <c r="B526" s="43">
        <v>2449.15</v>
      </c>
      <c r="D526" s="43">
        <v>15782.15</v>
      </c>
      <c r="E526" s="16">
        <f t="shared" si="16"/>
        <v>-1.873071837814011E-2</v>
      </c>
      <c r="F526" s="16">
        <f t="shared" si="17"/>
        <v>-3.7967971822272517E-3</v>
      </c>
      <c r="G526" s="16"/>
    </row>
    <row r="527" spans="2:7" x14ac:dyDescent="0.35">
      <c r="B527" s="43">
        <v>2495.9</v>
      </c>
      <c r="D527" s="43">
        <v>15842.3</v>
      </c>
      <c r="E527" s="16">
        <f t="shared" si="16"/>
        <v>-1.0937190410144626E-2</v>
      </c>
      <c r="F527" s="16">
        <f t="shared" si="17"/>
        <v>-2.5646860565953E-2</v>
      </c>
      <c r="G527" s="16"/>
    </row>
    <row r="528" spans="2:7" x14ac:dyDescent="0.35">
      <c r="B528" s="43">
        <v>2523.5</v>
      </c>
      <c r="D528" s="43">
        <v>16259.3</v>
      </c>
      <c r="E528" s="16">
        <f t="shared" si="16"/>
        <v>-6.1047656557700058E-3</v>
      </c>
      <c r="F528" s="16">
        <f t="shared" si="17"/>
        <v>1.169929126924929E-3</v>
      </c>
      <c r="G528" s="16"/>
    </row>
    <row r="529" spans="2:7" x14ac:dyDescent="0.35">
      <c r="B529" s="43">
        <v>2539</v>
      </c>
      <c r="D529" s="43">
        <v>16240.3</v>
      </c>
      <c r="E529" s="16">
        <f t="shared" si="16"/>
        <v>9.3420791095208955E-3</v>
      </c>
      <c r="F529" s="16">
        <f t="shared" si="17"/>
        <v>2.7255936341670228E-2</v>
      </c>
      <c r="G529" s="16"/>
    </row>
    <row r="530" spans="2:7" x14ac:dyDescent="0.35">
      <c r="B530" s="43">
        <v>2515.5</v>
      </c>
      <c r="D530" s="43">
        <v>15809.4</v>
      </c>
      <c r="E530" s="16">
        <f t="shared" si="16"/>
        <v>-2.8820724668455533E-2</v>
      </c>
      <c r="F530" s="16">
        <f t="shared" si="17"/>
        <v>-2.8079785321050155E-2</v>
      </c>
      <c r="G530" s="16"/>
    </row>
    <row r="531" spans="2:7" x14ac:dyDescent="0.35">
      <c r="B531" s="43">
        <v>2590.15</v>
      </c>
      <c r="D531" s="43">
        <v>16266.15</v>
      </c>
      <c r="E531" s="16">
        <f t="shared" si="16"/>
        <v>-1.3163409151521921E-2</v>
      </c>
      <c r="F531" s="16">
        <f t="shared" si="17"/>
        <v>3.1730466798645107E-3</v>
      </c>
      <c r="G531" s="16"/>
    </row>
    <row r="532" spans="2:7" x14ac:dyDescent="0.35">
      <c r="B532" s="43">
        <v>2624.7</v>
      </c>
      <c r="D532" s="43">
        <v>16214.7</v>
      </c>
      <c r="E532" s="16">
        <f t="shared" si="16"/>
        <v>-4.664391353811248E-3</v>
      </c>
      <c r="F532" s="16">
        <f t="shared" si="17"/>
        <v>5.5534367122167527E-3</v>
      </c>
      <c r="G532" s="16"/>
    </row>
    <row r="533" spans="2:7" x14ac:dyDescent="0.35">
      <c r="B533" s="43">
        <v>2637</v>
      </c>
      <c r="D533" s="43">
        <v>16125.15</v>
      </c>
      <c r="E533" s="16">
        <f t="shared" si="16"/>
        <v>1.6302462712452392E-2</v>
      </c>
      <c r="F533" s="16">
        <f t="shared" si="17"/>
        <v>6.1993785021652315E-3</v>
      </c>
      <c r="G533" s="16"/>
    </row>
    <row r="534" spans="2:7" x14ac:dyDescent="0.35">
      <c r="B534" s="43">
        <v>2594.6999999999998</v>
      </c>
      <c r="D534" s="43">
        <v>16025.8</v>
      </c>
      <c r="E534" s="16">
        <f t="shared" si="16"/>
        <v>-1.5835688141250581E-2</v>
      </c>
      <c r="F534" s="16">
        <f t="shared" si="17"/>
        <v>-8.9269425453690765E-3</v>
      </c>
      <c r="G534" s="16"/>
    </row>
    <row r="535" spans="2:7" x14ac:dyDescent="0.35">
      <c r="B535" s="43">
        <v>2636.45</v>
      </c>
      <c r="D535" s="43">
        <v>16170.15</v>
      </c>
      <c r="E535" s="16">
        <f t="shared" si="16"/>
        <v>-3.064563570850809E-2</v>
      </c>
      <c r="F535" s="16">
        <f t="shared" si="17"/>
        <v>-1.1148176572929547E-2</v>
      </c>
      <c r="G535" s="16"/>
    </row>
    <row r="536" spans="2:7" x14ac:dyDescent="0.35">
      <c r="B536" s="43">
        <v>2719.8</v>
      </c>
      <c r="D536" s="43">
        <v>16352.45</v>
      </c>
      <c r="E536" s="16">
        <f t="shared" si="16"/>
        <v>-1.8317662557975845E-2</v>
      </c>
      <c r="F536" s="16">
        <f t="shared" si="17"/>
        <v>-1.8542859543615786E-2</v>
      </c>
      <c r="G536" s="16"/>
    </row>
    <row r="537" spans="2:7" x14ac:dyDescent="0.35">
      <c r="B537" s="43">
        <v>2770.55</v>
      </c>
      <c r="D537" s="43">
        <v>16661.400000000001</v>
      </c>
      <c r="E537" s="16">
        <f t="shared" si="16"/>
        <v>-1.207685929557667E-3</v>
      </c>
      <c r="F537" s="16">
        <f t="shared" si="17"/>
        <v>4.6338308847693188E-3</v>
      </c>
      <c r="G537" s="16"/>
    </row>
    <row r="538" spans="2:7" x14ac:dyDescent="0.35">
      <c r="B538" s="43">
        <v>2773.9</v>
      </c>
      <c r="D538" s="43">
        <v>16584.55</v>
      </c>
      <c r="E538" s="16">
        <f t="shared" si="16"/>
        <v>5.9109370467074207E-3</v>
      </c>
      <c r="F538" s="16">
        <f t="shared" si="17"/>
        <v>3.7402974686415735E-3</v>
      </c>
      <c r="G538" s="16"/>
    </row>
    <row r="539" spans="2:7" x14ac:dyDescent="0.35">
      <c r="B539" s="43">
        <v>2757.6</v>
      </c>
      <c r="D539" s="43">
        <v>16522.75</v>
      </c>
      <c r="E539" s="16">
        <f t="shared" si="16"/>
        <v>3.54849611355188E-2</v>
      </c>
      <c r="F539" s="16">
        <f t="shared" si="17"/>
        <v>-6.3296848688958463E-3</v>
      </c>
      <c r="G539" s="16"/>
    </row>
    <row r="540" spans="2:7" x14ac:dyDescent="0.35">
      <c r="B540" s="43">
        <v>2663.1</v>
      </c>
      <c r="D540" s="43">
        <v>16628</v>
      </c>
      <c r="E540" s="16">
        <f t="shared" si="16"/>
        <v>3.0711175616835895E-2</v>
      </c>
      <c r="F540" s="16">
        <f t="shared" si="17"/>
        <v>2.6350222801083678E-3</v>
      </c>
      <c r="G540" s="16"/>
    </row>
    <row r="541" spans="2:7" x14ac:dyDescent="0.35">
      <c r="B541" s="43">
        <v>2583.75</v>
      </c>
      <c r="D541" s="43">
        <v>16584.3</v>
      </c>
      <c r="E541" s="16">
        <f t="shared" si="16"/>
        <v>1.6924136573846393E-2</v>
      </c>
      <c r="F541" s="16">
        <f t="shared" si="17"/>
        <v>8.9018712035038305E-4</v>
      </c>
      <c r="G541" s="16"/>
    </row>
    <row r="542" spans="2:7" x14ac:dyDescent="0.35">
      <c r="B542" s="43">
        <v>2540.75</v>
      </c>
      <c r="D542" s="43">
        <v>16569.55</v>
      </c>
      <c r="E542" s="16">
        <f t="shared" si="16"/>
        <v>-1.1708189898282595E-2</v>
      </c>
      <c r="F542" s="16">
        <f t="shared" si="17"/>
        <v>9.3321597066340356E-3</v>
      </c>
      <c r="G542" s="16"/>
    </row>
    <row r="543" spans="2:7" x14ac:dyDescent="0.35">
      <c r="B543" s="43">
        <v>2570.85</v>
      </c>
      <c r="D543" s="43">
        <v>16416.349999999999</v>
      </c>
      <c r="E543" s="16">
        <f t="shared" si="16"/>
        <v>-5.8392466985053293E-3</v>
      </c>
      <c r="F543" s="16">
        <f t="shared" si="17"/>
        <v>3.6744363775313982E-3</v>
      </c>
      <c r="G543" s="16"/>
    </row>
    <row r="544" spans="2:7" x14ac:dyDescent="0.35">
      <c r="B544" s="43">
        <v>2585.9499999999998</v>
      </c>
      <c r="D544" s="43">
        <v>16356.25</v>
      </c>
      <c r="E544" s="16">
        <f t="shared" si="16"/>
        <v>-4.6764943612640497E-3</v>
      </c>
      <c r="F544" s="16">
        <f t="shared" si="17"/>
        <v>-7.3946632196671969E-3</v>
      </c>
      <c r="G544" s="16"/>
    </row>
    <row r="545" spans="2:7" x14ac:dyDescent="0.35">
      <c r="B545" s="43">
        <v>2598.1</v>
      </c>
      <c r="D545" s="43">
        <v>16478.099999999999</v>
      </c>
      <c r="E545" s="16">
        <f t="shared" si="16"/>
        <v>-1.4796594861545831E-3</v>
      </c>
      <c r="F545" s="16">
        <f t="shared" si="17"/>
        <v>1.7053660704366091E-2</v>
      </c>
      <c r="G545" s="16"/>
    </row>
    <row r="546" spans="2:7" x14ac:dyDescent="0.35">
      <c r="B546" s="43">
        <v>2601.9499999999998</v>
      </c>
      <c r="D546" s="43">
        <v>16201.8</v>
      </c>
      <c r="E546" s="16">
        <f t="shared" si="16"/>
        <v>1.2120978913343627E-3</v>
      </c>
      <c r="F546" s="16">
        <f t="shared" si="17"/>
        <v>2.7094532914088587E-2</v>
      </c>
      <c r="G546" s="16"/>
    </row>
    <row r="547" spans="2:7" x14ac:dyDescent="0.35">
      <c r="B547" s="43">
        <v>2598.8000000000002</v>
      </c>
      <c r="D547" s="43">
        <v>15774.4</v>
      </c>
      <c r="E547" s="16">
        <f t="shared" si="16"/>
        <v>1.6108852048795752E-2</v>
      </c>
      <c r="F547" s="16">
        <f t="shared" si="17"/>
        <v>2.6887700942657133E-3</v>
      </c>
      <c r="G547" s="16"/>
    </row>
    <row r="548" spans="2:7" x14ac:dyDescent="0.35">
      <c r="B548" s="43">
        <v>2557.6</v>
      </c>
      <c r="D548" s="43">
        <v>15732.1</v>
      </c>
      <c r="E548" s="16">
        <f t="shared" si="16"/>
        <v>-1.8308831996315278E-2</v>
      </c>
      <c r="F548" s="16">
        <f t="shared" si="17"/>
        <v>2.5458589167195456E-3</v>
      </c>
      <c r="G548" s="16"/>
    </row>
    <row r="549" spans="2:7" x14ac:dyDescent="0.35">
      <c r="B549" s="43">
        <v>2605.3000000000002</v>
      </c>
      <c r="D549" s="43">
        <v>15692.15</v>
      </c>
      <c r="E549" s="16">
        <f t="shared" si="16"/>
        <v>3.4239098072686103E-2</v>
      </c>
      <c r="F549" s="16">
        <f t="shared" si="17"/>
        <v>2.1584443316016166E-2</v>
      </c>
      <c r="G549" s="16"/>
    </row>
    <row r="550" spans="2:7" x14ac:dyDescent="0.35">
      <c r="B550" s="43">
        <v>2519.0500000000002</v>
      </c>
      <c r="D550" s="43">
        <v>15360.6</v>
      </c>
      <c r="E550" s="16">
        <f t="shared" si="16"/>
        <v>2.0932965875010145E-2</v>
      </c>
      <c r="F550" s="16">
        <f t="shared" si="17"/>
        <v>4.3874848791971566E-3</v>
      </c>
      <c r="G550" s="16"/>
    </row>
    <row r="551" spans="2:7" x14ac:dyDescent="0.35">
      <c r="B551" s="43">
        <v>2467.4</v>
      </c>
      <c r="D551" s="43">
        <v>15293.5</v>
      </c>
      <c r="E551" s="16">
        <f t="shared" si="16"/>
        <v>6.0549224276773561E-3</v>
      </c>
      <c r="F551" s="16">
        <f t="shared" si="17"/>
        <v>-3.690517682237604E-3</v>
      </c>
      <c r="G551" s="16"/>
    </row>
    <row r="552" spans="2:7" x14ac:dyDescent="0.35">
      <c r="B552" s="43">
        <v>2452.5500000000002</v>
      </c>
      <c r="D552" s="43">
        <v>15350.15</v>
      </c>
      <c r="E552" s="16">
        <f t="shared" si="16"/>
        <v>-1.8665973111395506E-2</v>
      </c>
      <c r="F552" s="16">
        <f t="shared" si="17"/>
        <v>-1.8457298513952503E-2</v>
      </c>
      <c r="G552" s="16"/>
    </row>
    <row r="553" spans="2:7" x14ac:dyDescent="0.35">
      <c r="B553" s="43">
        <v>2499.1999999999998</v>
      </c>
      <c r="D553" s="43">
        <v>15638.8</v>
      </c>
      <c r="E553" s="16">
        <f t="shared" si="16"/>
        <v>-1.0002178692388397E-2</v>
      </c>
      <c r="F553" s="16">
        <f t="shared" si="17"/>
        <v>1.4630221951172029E-2</v>
      </c>
      <c r="G553" s="16"/>
    </row>
    <row r="554" spans="2:7" x14ac:dyDescent="0.35">
      <c r="B554" s="43">
        <v>2524.4499999999998</v>
      </c>
      <c r="D554" s="43">
        <v>15413.3</v>
      </c>
      <c r="E554" s="16">
        <f t="shared" si="16"/>
        <v>-5.5962753823716405E-2</v>
      </c>
      <c r="F554" s="16">
        <f t="shared" si="17"/>
        <v>-9.2147088222721552E-3</v>
      </c>
      <c r="G554" s="16"/>
    </row>
    <row r="555" spans="2:7" x14ac:dyDescent="0.35">
      <c r="B555" s="43">
        <v>2674.1</v>
      </c>
      <c r="D555" s="43">
        <v>15556.65</v>
      </c>
      <c r="E555" s="16">
        <f t="shared" si="16"/>
        <v>-3.1105635971666157E-2</v>
      </c>
      <c r="F555" s="16">
        <f t="shared" si="17"/>
        <v>-9.0832364603404825E-3</v>
      </c>
      <c r="G555" s="16"/>
    </row>
    <row r="556" spans="2:7" x14ac:dyDescent="0.35">
      <c r="B556" s="43">
        <v>2759.95</v>
      </c>
      <c r="D556" s="43">
        <v>15699.25</v>
      </c>
      <c r="E556" s="16">
        <f t="shared" si="16"/>
        <v>1.6149519143531244E-3</v>
      </c>
      <c r="F556" s="16">
        <f t="shared" si="17"/>
        <v>-8.3880482944406198E-3</v>
      </c>
      <c r="G556" s="16"/>
    </row>
    <row r="557" spans="2:7" x14ac:dyDescent="0.35">
      <c r="B557" s="43">
        <v>2755.5</v>
      </c>
      <c r="D557" s="43">
        <v>15832.05</v>
      </c>
      <c r="E557" s="16">
        <f t="shared" si="16"/>
        <v>-4.0481439982650302E-3</v>
      </c>
      <c r="F557" s="16">
        <f t="shared" si="17"/>
        <v>-1.1450959609343725E-3</v>
      </c>
      <c r="G557" s="16"/>
    </row>
    <row r="558" spans="2:7" x14ac:dyDescent="0.35">
      <c r="B558" s="43">
        <v>2766.7</v>
      </c>
      <c r="D558" s="43">
        <v>15850.2</v>
      </c>
      <c r="E558" s="16">
        <f t="shared" si="16"/>
        <v>5.1954657753232603E-3</v>
      </c>
      <c r="F558" s="16">
        <f t="shared" si="17"/>
        <v>3.2343614509686702E-3</v>
      </c>
      <c r="G558" s="16"/>
    </row>
    <row r="559" spans="2:7" x14ac:dyDescent="0.35">
      <c r="B559" s="43">
        <v>2752.4</v>
      </c>
      <c r="D559" s="43">
        <v>15799.1</v>
      </c>
      <c r="E559" s="16">
        <f t="shared" si="16"/>
        <v>1.2023384932161818E-2</v>
      </c>
      <c r="F559" s="16">
        <f t="shared" si="17"/>
        <v>1.1945311386067914E-3</v>
      </c>
      <c r="G559" s="16"/>
    </row>
    <row r="560" spans="2:7" x14ac:dyDescent="0.35">
      <c r="B560" s="43">
        <v>2719.7</v>
      </c>
      <c r="D560" s="43">
        <v>15780.25</v>
      </c>
      <c r="E560" s="16">
        <f t="shared" si="16"/>
        <v>-1.5956292061654387E-2</v>
      </c>
      <c r="F560" s="16">
        <f t="shared" si="17"/>
        <v>1.790243174697892E-3</v>
      </c>
      <c r="G560" s="16"/>
    </row>
    <row r="561" spans="2:7" x14ac:dyDescent="0.35">
      <c r="B561" s="43">
        <v>2763.8</v>
      </c>
      <c r="D561" s="43">
        <v>15752.05</v>
      </c>
      <c r="E561" s="16">
        <f t="shared" si="16"/>
        <v>1.2135702512272584E-3</v>
      </c>
      <c r="F561" s="16">
        <f t="shared" si="17"/>
        <v>-5.2603826249499885E-3</v>
      </c>
      <c r="G561" s="16"/>
    </row>
    <row r="562" spans="2:7" x14ac:dyDescent="0.35">
      <c r="B562" s="43">
        <v>2760.45</v>
      </c>
      <c r="D562" s="43">
        <v>15835.35</v>
      </c>
      <c r="E562" s="16">
        <f t="shared" si="16"/>
        <v>8.4756598776143388E-3</v>
      </c>
      <c r="F562" s="16">
        <f t="shared" si="17"/>
        <v>1.5495688087610038E-3</v>
      </c>
      <c r="G562" s="16"/>
    </row>
    <row r="563" spans="2:7" x14ac:dyDescent="0.35">
      <c r="B563" s="43">
        <v>2737.25</v>
      </c>
      <c r="D563" s="43">
        <v>15810.85</v>
      </c>
      <c r="E563" s="16">
        <f t="shared" si="16"/>
        <v>-3.3388657391058785E-2</v>
      </c>
      <c r="F563" s="16">
        <f t="shared" si="17"/>
        <v>-1.1191509587361925E-2</v>
      </c>
      <c r="G563" s="16"/>
    </row>
    <row r="564" spans="2:7" x14ac:dyDescent="0.35">
      <c r="B564" s="43">
        <v>2831.8</v>
      </c>
      <c r="D564" s="43">
        <v>15989.8</v>
      </c>
      <c r="E564" s="16">
        <f t="shared" si="16"/>
        <v>-2.6941837327649765E-3</v>
      </c>
      <c r="F564" s="16">
        <f t="shared" si="17"/>
        <v>-8.870072956505104E-3</v>
      </c>
      <c r="G564" s="16"/>
    </row>
    <row r="565" spans="2:7" x14ac:dyDescent="0.35">
      <c r="B565" s="43">
        <v>2839.45</v>
      </c>
      <c r="D565" s="43">
        <v>16132.9</v>
      </c>
      <c r="E565" s="16">
        <f t="shared" si="16"/>
        <v>-3.4569894360019227E-3</v>
      </c>
      <c r="F565" s="16">
        <f t="shared" si="17"/>
        <v>-5.4067050540670403E-3</v>
      </c>
      <c r="G565" s="16"/>
    </row>
    <row r="566" spans="2:7" x14ac:dyDescent="0.35">
      <c r="B566" s="43">
        <v>2849.3</v>
      </c>
      <c r="D566" s="43">
        <v>16220.6</v>
      </c>
      <c r="E566" s="16">
        <f t="shared" si="16"/>
        <v>-6.5548621038317156E-3</v>
      </c>
      <c r="F566" s="16">
        <f t="shared" si="17"/>
        <v>2.8367044893928828E-4</v>
      </c>
      <c r="G566" s="16"/>
    </row>
    <row r="567" spans="2:7" x14ac:dyDescent="0.35">
      <c r="B567" s="43">
        <v>2868.1</v>
      </c>
      <c r="D567" s="43">
        <v>16216</v>
      </c>
      <c r="E567" s="16">
        <f t="shared" si="16"/>
        <v>-2.5734654842636262E-3</v>
      </c>
      <c r="F567" s="16">
        <f t="shared" si="17"/>
        <v>9.8204666745547176E-3</v>
      </c>
      <c r="G567" s="16"/>
    </row>
    <row r="568" spans="2:7" x14ac:dyDescent="0.35">
      <c r="B568" s="43">
        <v>2875.5</v>
      </c>
      <c r="D568" s="43">
        <v>16058.3</v>
      </c>
      <c r="E568" s="16">
        <f t="shared" si="16"/>
        <v>1.1307084952608681E-2</v>
      </c>
      <c r="F568" s="16">
        <f t="shared" si="17"/>
        <v>5.7400894990495832E-3</v>
      </c>
      <c r="G568" s="16"/>
    </row>
    <row r="569" spans="2:7" x14ac:dyDescent="0.35">
      <c r="B569" s="43">
        <v>2843.35</v>
      </c>
      <c r="D569" s="43">
        <v>15966.65</v>
      </c>
      <c r="E569" s="16">
        <f t="shared" si="16"/>
        <v>1.8100114580349436E-2</v>
      </c>
      <c r="F569" s="16">
        <f t="shared" si="17"/>
        <v>1.756735984540736E-3</v>
      </c>
      <c r="G569" s="16"/>
    </row>
    <row r="570" spans="2:7" x14ac:dyDescent="0.35">
      <c r="B570" s="43">
        <v>2792.8</v>
      </c>
      <c r="D570" s="43">
        <v>15938.65</v>
      </c>
      <c r="E570" s="16">
        <f t="shared" si="16"/>
        <v>-2.5892394778664896E-3</v>
      </c>
      <c r="F570" s="16">
        <f t="shared" si="17"/>
        <v>-6.8881938040525892E-3</v>
      </c>
      <c r="G570" s="16"/>
    </row>
    <row r="571" spans="2:7" x14ac:dyDescent="0.35">
      <c r="B571" s="43">
        <v>2800.05</v>
      </c>
      <c r="D571" s="43">
        <v>16049.2</v>
      </c>
      <c r="E571" s="16">
        <f t="shared" si="16"/>
        <v>-6.3521354175907208E-3</v>
      </c>
      <c r="F571" s="16">
        <f t="shared" si="17"/>
        <v>-1.4086064440826829E-2</v>
      </c>
      <c r="G571" s="16"/>
    </row>
    <row r="572" spans="2:7" x14ac:dyDescent="0.35">
      <c r="B572" s="43">
        <v>2817.95</v>
      </c>
      <c r="D572" s="43">
        <v>16278.5</v>
      </c>
      <c r="E572" s="16">
        <f t="shared" si="16"/>
        <v>5.9795801799229498E-3</v>
      </c>
      <c r="F572" s="16">
        <f t="shared" si="17"/>
        <v>-3.7973018044067386E-3</v>
      </c>
      <c r="G572" s="16"/>
    </row>
    <row r="573" spans="2:7" x14ac:dyDescent="0.35">
      <c r="B573" s="43">
        <v>2801.2</v>
      </c>
      <c r="D573" s="43">
        <v>16340.55</v>
      </c>
      <c r="E573" s="16">
        <f t="shared" si="16"/>
        <v>-9.0386486247457931E-3</v>
      </c>
      <c r="F573" s="16">
        <f t="shared" si="17"/>
        <v>-1.0913482054494716E-2</v>
      </c>
      <c r="G573" s="16"/>
    </row>
    <row r="574" spans="2:7" x14ac:dyDescent="0.35">
      <c r="B574" s="43">
        <v>2826.75</v>
      </c>
      <c r="D574" s="43">
        <v>16520.849999999999</v>
      </c>
      <c r="E574" s="16">
        <f t="shared" si="16"/>
        <v>-7.3916707633964185E-3</v>
      </c>
      <c r="F574" s="16">
        <f t="shared" si="17"/>
        <v>-5.0827298595325088E-3</v>
      </c>
      <c r="G574" s="16"/>
    </row>
    <row r="575" spans="2:7" x14ac:dyDescent="0.35">
      <c r="B575" s="43">
        <v>2847.8</v>
      </c>
      <c r="D575" s="43">
        <v>16605.25</v>
      </c>
      <c r="E575" s="16">
        <f t="shared" si="16"/>
        <v>-8.2880624042345197E-3</v>
      </c>
      <c r="F575" s="16">
        <f t="shared" si="17"/>
        <v>-6.8303682238352037E-3</v>
      </c>
      <c r="G575" s="16"/>
    </row>
    <row r="576" spans="2:7" x14ac:dyDescent="0.35">
      <c r="B576" s="43">
        <v>2871.6</v>
      </c>
      <c r="D576" s="43">
        <v>16719.45</v>
      </c>
      <c r="E576" s="16">
        <f t="shared" si="16"/>
        <v>1.1536361554854935E-2</v>
      </c>
      <c r="F576" s="16">
        <f t="shared" si="17"/>
        <v>5.3183813360591081E-3</v>
      </c>
      <c r="G576" s="16"/>
    </row>
    <row r="577" spans="2:7" x14ac:dyDescent="0.35">
      <c r="B577" s="43">
        <v>2838.85</v>
      </c>
      <c r="D577" s="43">
        <v>16631</v>
      </c>
      <c r="E577" s="16">
        <f t="shared" si="16"/>
        <v>1.3603499062750934E-2</v>
      </c>
      <c r="F577" s="16">
        <f t="shared" si="17"/>
        <v>8.9269193786647438E-3</v>
      </c>
      <c r="G577" s="16"/>
    </row>
    <row r="578" spans="2:7" x14ac:dyDescent="0.35">
      <c r="B578" s="43">
        <v>2800.75</v>
      </c>
      <c r="D578" s="43">
        <v>16483.849999999999</v>
      </c>
      <c r="E578" s="16">
        <f t="shared" si="16"/>
        <v>6.5407629692189051E-3</v>
      </c>
      <c r="F578" s="16">
        <f t="shared" si="17"/>
        <v>-9.491160811931465E-3</v>
      </c>
      <c r="G578" s="16"/>
    </row>
    <row r="579" spans="2:7" x14ac:dyDescent="0.35">
      <c r="B579" s="43">
        <v>2782.55</v>
      </c>
      <c r="D579" s="43">
        <v>16641.8</v>
      </c>
      <c r="E579" s="16">
        <f t="shared" si="16"/>
        <v>6.6530010429044495E-4</v>
      </c>
      <c r="F579" s="16">
        <f t="shared" si="17"/>
        <v>-1.6999810981948693E-2</v>
      </c>
      <c r="G579" s="16"/>
    </row>
    <row r="580" spans="2:7" x14ac:dyDescent="0.35">
      <c r="B580" s="43">
        <v>2780.7</v>
      </c>
      <c r="D580" s="43">
        <v>16929.599999999999</v>
      </c>
      <c r="E580" s="16">
        <f t="shared" ref="E580:E643" si="18">B580/B581-1</f>
        <v>-1.3253845744397807E-2</v>
      </c>
      <c r="F580" s="16">
        <f t="shared" ref="F580:F643" si="19">D580/D581-1</f>
        <v>-1.3325951073099085E-2</v>
      </c>
      <c r="G580" s="16"/>
    </row>
    <row r="581" spans="2:7" x14ac:dyDescent="0.35">
      <c r="B581" s="43">
        <v>2818.05</v>
      </c>
      <c r="D581" s="43">
        <v>17158.25</v>
      </c>
      <c r="E581" s="16">
        <f t="shared" si="18"/>
        <v>-8.0083075190087172E-3</v>
      </c>
      <c r="F581" s="16">
        <f t="shared" si="19"/>
        <v>-1.0484398833913389E-2</v>
      </c>
      <c r="G581" s="16"/>
    </row>
    <row r="582" spans="2:7" x14ac:dyDescent="0.35">
      <c r="B582" s="43">
        <v>2840.8</v>
      </c>
      <c r="D582" s="43">
        <v>17340.05</v>
      </c>
      <c r="E582" s="16">
        <f t="shared" si="18"/>
        <v>2.5023002399466199E-2</v>
      </c>
      <c r="F582" s="16">
        <f t="shared" si="19"/>
        <v>-3.1132083630014407E-4</v>
      </c>
      <c r="G582" s="16"/>
    </row>
    <row r="583" spans="2:7" x14ac:dyDescent="0.35">
      <c r="B583" s="43">
        <v>2771.45</v>
      </c>
      <c r="D583" s="43">
        <v>17345.45</v>
      </c>
      <c r="E583" s="16">
        <f t="shared" si="18"/>
        <v>-1.0867625539812353E-2</v>
      </c>
      <c r="F583" s="16">
        <f t="shared" si="19"/>
        <v>-2.4556954017534993E-3</v>
      </c>
      <c r="G583" s="16"/>
    </row>
    <row r="584" spans="2:7" x14ac:dyDescent="0.35">
      <c r="B584" s="43">
        <v>2801.9</v>
      </c>
      <c r="D584" s="43">
        <v>17388.150000000001</v>
      </c>
      <c r="E584" s="16">
        <f t="shared" si="18"/>
        <v>-1.8168863555396708E-3</v>
      </c>
      <c r="F584" s="16">
        <f t="shared" si="19"/>
        <v>3.5381429064562653E-4</v>
      </c>
      <c r="G584" s="16"/>
    </row>
    <row r="585" spans="2:7" x14ac:dyDescent="0.35">
      <c r="B585" s="43">
        <v>2807</v>
      </c>
      <c r="D585" s="43">
        <v>17382</v>
      </c>
      <c r="E585" s="16">
        <f t="shared" si="18"/>
        <v>1.3101382322156852E-2</v>
      </c>
      <c r="F585" s="16">
        <f t="shared" si="19"/>
        <v>-8.9093260525940909E-4</v>
      </c>
      <c r="G585" s="16"/>
    </row>
    <row r="586" spans="2:7" x14ac:dyDescent="0.35">
      <c r="B586" s="43">
        <v>2770.7</v>
      </c>
      <c r="D586" s="43">
        <v>17397.5</v>
      </c>
      <c r="E586" s="16">
        <f t="shared" si="18"/>
        <v>1.1924544840306028E-2</v>
      </c>
      <c r="F586" s="16">
        <f t="shared" si="19"/>
        <v>-7.2809855578569449E-3</v>
      </c>
      <c r="G586" s="16"/>
    </row>
    <row r="587" spans="2:7" x14ac:dyDescent="0.35">
      <c r="B587" s="43">
        <v>2738.05</v>
      </c>
      <c r="D587" s="43">
        <v>17525.099999999999</v>
      </c>
      <c r="E587" s="16">
        <f t="shared" si="18"/>
        <v>-1.3475292294943042E-2</v>
      </c>
      <c r="F587" s="16">
        <f t="shared" si="19"/>
        <v>-5.5033576184437827E-4</v>
      </c>
      <c r="G587" s="16"/>
    </row>
    <row r="588" spans="2:7" x14ac:dyDescent="0.35">
      <c r="B588" s="43">
        <v>2775.45</v>
      </c>
      <c r="D588" s="43">
        <v>17534.75</v>
      </c>
      <c r="E588" s="16">
        <f t="shared" si="18"/>
        <v>-3.5364233655262867E-3</v>
      </c>
      <c r="F588" s="16">
        <f t="shared" si="19"/>
        <v>-7.0360722577722523E-3</v>
      </c>
      <c r="G588" s="16"/>
    </row>
    <row r="589" spans="2:7" x14ac:dyDescent="0.35">
      <c r="B589" s="43">
        <v>2785.3</v>
      </c>
      <c r="D589" s="43">
        <v>17659</v>
      </c>
      <c r="E589" s="16">
        <f t="shared" si="18"/>
        <v>8.4724284007386963E-3</v>
      </c>
      <c r="F589" s="16">
        <f t="shared" si="19"/>
        <v>-2.2120956145134096E-3</v>
      </c>
      <c r="G589" s="16"/>
    </row>
    <row r="590" spans="2:7" x14ac:dyDescent="0.35">
      <c r="B590" s="43">
        <v>2761.9</v>
      </c>
      <c r="D590" s="43">
        <v>17698.150000000001</v>
      </c>
      <c r="E590" s="16">
        <f t="shared" si="18"/>
        <v>-1.955981540646079E-2</v>
      </c>
      <c r="F590" s="16">
        <f t="shared" si="19"/>
        <v>-7.1303347779132498E-3</v>
      </c>
      <c r="G590" s="16"/>
    </row>
    <row r="591" spans="2:7" x14ac:dyDescent="0.35">
      <c r="B591" s="43">
        <v>2817</v>
      </c>
      <c r="D591" s="43">
        <v>17825.25</v>
      </c>
      <c r="E591" s="16">
        <f t="shared" si="18"/>
        <v>-3.3105081604283493E-2</v>
      </c>
      <c r="F591" s="16">
        <f t="shared" si="19"/>
        <v>-6.631650807361722E-3</v>
      </c>
      <c r="G591" s="16"/>
    </row>
    <row r="592" spans="2:7" x14ac:dyDescent="0.35">
      <c r="B592" s="43">
        <v>2913.45</v>
      </c>
      <c r="D592" s="43">
        <v>17944.25</v>
      </c>
      <c r="E592" s="16">
        <f t="shared" si="18"/>
        <v>1.8052403548587392E-3</v>
      </c>
      <c r="F592" s="16">
        <f t="shared" si="19"/>
        <v>-6.8220421574360923E-4</v>
      </c>
      <c r="G592" s="16"/>
    </row>
    <row r="593" spans="2:7" x14ac:dyDescent="0.35">
      <c r="B593" s="43">
        <v>2908.2</v>
      </c>
      <c r="D593" s="43">
        <v>17956.5</v>
      </c>
      <c r="E593" s="16">
        <f t="shared" si="18"/>
        <v>2.4501083261409429E-2</v>
      </c>
      <c r="F593" s="16">
        <f t="shared" si="19"/>
        <v>1.1152437290416595E-2</v>
      </c>
      <c r="G593" s="16"/>
    </row>
    <row r="594" spans="2:7" x14ac:dyDescent="0.35">
      <c r="B594" s="43">
        <v>2838.65</v>
      </c>
      <c r="D594" s="43">
        <v>17758.45</v>
      </c>
      <c r="E594" s="16">
        <f t="shared" si="18"/>
        <v>2.0895146643649554E-2</v>
      </c>
      <c r="F594" s="16">
        <f t="shared" si="19"/>
        <v>1.5308135180410076E-2</v>
      </c>
      <c r="G594" s="16"/>
    </row>
    <row r="595" spans="2:7" x14ac:dyDescent="0.35">
      <c r="B595" s="43">
        <v>2780.55</v>
      </c>
      <c r="D595" s="43">
        <v>17490.7</v>
      </c>
      <c r="E595" s="16">
        <f t="shared" si="18"/>
        <v>-8.1508168652349999E-3</v>
      </c>
      <c r="F595" s="16">
        <f t="shared" si="19"/>
        <v>-4.9381311335513489E-3</v>
      </c>
      <c r="G595" s="16"/>
    </row>
    <row r="596" spans="2:7" x14ac:dyDescent="0.35">
      <c r="B596" s="43">
        <v>2803.4</v>
      </c>
      <c r="D596" s="43">
        <v>17577.5</v>
      </c>
      <c r="E596" s="16">
        <f t="shared" si="18"/>
        <v>-1.0511874855237968E-3</v>
      </c>
      <c r="F596" s="16">
        <f t="shared" si="19"/>
        <v>-1.5592205601265841E-3</v>
      </c>
      <c r="G596" s="16"/>
    </row>
    <row r="597" spans="2:7" x14ac:dyDescent="0.35">
      <c r="B597" s="43">
        <v>2806.35</v>
      </c>
      <c r="D597" s="43">
        <v>17604.95</v>
      </c>
      <c r="E597" s="16">
        <f t="shared" si="18"/>
        <v>2.3394528180582519E-3</v>
      </c>
      <c r="F597" s="16">
        <f t="shared" si="19"/>
        <v>4.7082457076492723E-3</v>
      </c>
      <c r="G597" s="16"/>
    </row>
    <row r="598" spans="2:7" x14ac:dyDescent="0.35">
      <c r="B598" s="43">
        <v>2799.8</v>
      </c>
      <c r="D598" s="43">
        <v>17522.45</v>
      </c>
      <c r="E598" s="16">
        <f t="shared" si="18"/>
        <v>-9.5339170425399189E-3</v>
      </c>
      <c r="F598" s="16">
        <f t="shared" si="19"/>
        <v>-2.075870356343601E-3</v>
      </c>
      <c r="G598" s="16"/>
    </row>
    <row r="599" spans="2:7" x14ac:dyDescent="0.35">
      <c r="B599" s="43">
        <v>2826.75</v>
      </c>
      <c r="D599" s="43">
        <v>17558.900000000001</v>
      </c>
      <c r="E599" s="16">
        <f t="shared" si="18"/>
        <v>-1.0611768451218584E-4</v>
      </c>
      <c r="F599" s="16">
        <f t="shared" si="19"/>
        <v>1.4209057985663964E-2</v>
      </c>
      <c r="G599" s="16"/>
    </row>
    <row r="600" spans="2:7" x14ac:dyDescent="0.35">
      <c r="B600" s="43">
        <v>2827.05</v>
      </c>
      <c r="D600" s="43">
        <v>17312.900000000001</v>
      </c>
      <c r="E600" s="16">
        <f t="shared" si="18"/>
        <v>-3.7530394333438188E-3</v>
      </c>
      <c r="F600" s="16">
        <f t="shared" si="19"/>
        <v>-2.5136125860816483E-2</v>
      </c>
      <c r="G600" s="16"/>
    </row>
    <row r="601" spans="2:7" x14ac:dyDescent="0.35">
      <c r="B601" s="43">
        <v>2837.7</v>
      </c>
      <c r="D601" s="43">
        <v>17759.3</v>
      </c>
      <c r="E601" s="16">
        <f t="shared" si="18"/>
        <v>-1.354005527262625E-2</v>
      </c>
      <c r="F601" s="16">
        <f t="shared" si="19"/>
        <v>1.2341245411222834E-2</v>
      </c>
      <c r="G601" s="16"/>
    </row>
    <row r="602" spans="2:7" x14ac:dyDescent="0.35">
      <c r="B602" s="43">
        <v>2876.65</v>
      </c>
      <c r="D602" s="43">
        <v>17542.8</v>
      </c>
      <c r="E602" s="16">
        <f t="shared" si="18"/>
        <v>1.8229120577668345E-2</v>
      </c>
      <c r="F602" s="16">
        <f t="shared" si="19"/>
        <v>1.9099800734911909E-4</v>
      </c>
      <c r="G602" s="16"/>
    </row>
    <row r="603" spans="2:7" x14ac:dyDescent="0.35">
      <c r="B603" s="43">
        <v>2825.15</v>
      </c>
      <c r="D603" s="43">
        <v>17539.45</v>
      </c>
      <c r="E603" s="16">
        <f t="shared" si="18"/>
        <v>-5.9464119209725608E-3</v>
      </c>
      <c r="F603" s="16">
        <f t="shared" si="19"/>
        <v>-7.1522376569416179E-3</v>
      </c>
      <c r="G603" s="16"/>
    </row>
    <row r="604" spans="2:7" x14ac:dyDescent="0.35">
      <c r="B604" s="43">
        <v>2842.05</v>
      </c>
      <c r="D604" s="43">
        <v>17665.8</v>
      </c>
      <c r="E604" s="16">
        <f t="shared" si="18"/>
        <v>-8.5468594652108321E-3</v>
      </c>
      <c r="F604" s="16">
        <f t="shared" si="19"/>
        <v>5.7772038333459008E-4</v>
      </c>
      <c r="G604" s="16"/>
    </row>
    <row r="605" spans="2:7" x14ac:dyDescent="0.35">
      <c r="B605" s="43">
        <v>2866.55</v>
      </c>
      <c r="D605" s="43">
        <v>17655.599999999999</v>
      </c>
      <c r="E605" s="16">
        <f t="shared" si="18"/>
        <v>4.1334617742359026E-3</v>
      </c>
      <c r="F605" s="16">
        <f t="shared" si="19"/>
        <v>1.7702730305710901E-3</v>
      </c>
      <c r="G605" s="16"/>
    </row>
    <row r="606" spans="2:7" x14ac:dyDescent="0.35">
      <c r="B606" s="43">
        <v>2854.75</v>
      </c>
      <c r="D606" s="43">
        <v>17624.400000000001</v>
      </c>
      <c r="E606" s="16">
        <f t="shared" si="18"/>
        <v>-8.924509151997384E-4</v>
      </c>
      <c r="F606" s="16">
        <f t="shared" si="19"/>
        <v>-9.7956317157102957E-3</v>
      </c>
      <c r="G606" s="16"/>
    </row>
    <row r="607" spans="2:7" x14ac:dyDescent="0.35">
      <c r="B607" s="43">
        <v>2857.3</v>
      </c>
      <c r="D607" s="43">
        <v>17798.75</v>
      </c>
      <c r="E607" s="16">
        <f t="shared" si="18"/>
        <v>6.6409484049394507E-3</v>
      </c>
      <c r="F607" s="16">
        <f t="shared" si="19"/>
        <v>-1.9401851026306094E-3</v>
      </c>
      <c r="G607" s="16"/>
    </row>
    <row r="608" spans="2:7" ht="15" thickBot="1" x14ac:dyDescent="0.4">
      <c r="B608" s="43">
        <v>2838.45</v>
      </c>
      <c r="D608" s="43">
        <v>17833.349999999999</v>
      </c>
      <c r="E608" s="16">
        <f t="shared" si="18"/>
        <v>-6.8056964904301687E-3</v>
      </c>
      <c r="F608" s="16">
        <f t="shared" si="19"/>
        <v>-5.7425284408477717E-3</v>
      </c>
      <c r="G608" s="16"/>
    </row>
    <row r="609" spans="2:7" ht="15" thickBot="1" x14ac:dyDescent="0.4">
      <c r="B609" s="172">
        <v>2857.9</v>
      </c>
      <c r="D609" s="43">
        <v>17936.349999999999</v>
      </c>
      <c r="E609" s="16">
        <f t="shared" si="18"/>
        <v>-4.216027874564432E-3</v>
      </c>
      <c r="F609" s="16">
        <f t="shared" si="19"/>
        <v>-7.3989834007101019E-3</v>
      </c>
      <c r="G609" s="16"/>
    </row>
    <row r="610" spans="2:7" ht="15" thickBot="1" x14ac:dyDescent="0.4">
      <c r="B610" s="172">
        <v>2870</v>
      </c>
      <c r="D610" s="43">
        <v>18070.05</v>
      </c>
      <c r="E610" s="16">
        <f t="shared" si="18"/>
        <v>6.4878134315271563E-3</v>
      </c>
      <c r="F610" s="16">
        <f t="shared" si="19"/>
        <v>3.6825661320558645E-3</v>
      </c>
      <c r="G610" s="16"/>
    </row>
    <row r="611" spans="2:7" ht="15" thickBot="1" x14ac:dyDescent="0.4">
      <c r="B611" s="172">
        <v>2851.5</v>
      </c>
      <c r="D611" s="43">
        <v>18003.75</v>
      </c>
      <c r="E611" s="16">
        <f t="shared" si="18"/>
        <v>2.19331254703794E-2</v>
      </c>
      <c r="F611" s="16">
        <f t="shared" si="19"/>
        <v>7.067582534372896E-3</v>
      </c>
      <c r="G611" s="16"/>
    </row>
    <row r="612" spans="2:7" ht="15" thickBot="1" x14ac:dyDescent="0.4">
      <c r="B612" s="172">
        <v>2790.3</v>
      </c>
      <c r="D612" s="43">
        <v>17877.400000000001</v>
      </c>
      <c r="E612" s="16">
        <f t="shared" si="18"/>
        <v>3.9140473707731438E-2</v>
      </c>
      <c r="F612" s="16">
        <f t="shared" si="19"/>
        <v>1.9768008967049777E-2</v>
      </c>
      <c r="G612" s="16"/>
    </row>
    <row r="613" spans="2:7" ht="15" thickBot="1" x14ac:dyDescent="0.4">
      <c r="B613" s="172">
        <v>2685.2</v>
      </c>
      <c r="D613" s="43">
        <v>17530.849999999999</v>
      </c>
      <c r="E613" s="16">
        <f t="shared" si="18"/>
        <v>-7.0995414879456709E-3</v>
      </c>
      <c r="F613" s="16">
        <f t="shared" si="19"/>
        <v>-5.1866248634540035E-3</v>
      </c>
      <c r="G613" s="16"/>
    </row>
    <row r="614" spans="2:7" ht="15" thickBot="1" x14ac:dyDescent="0.4">
      <c r="B614" s="172">
        <v>2704.4</v>
      </c>
      <c r="D614" s="43">
        <v>17622.25</v>
      </c>
      <c r="E614" s="16">
        <f t="shared" si="18"/>
        <v>-2.4228319893200623E-2</v>
      </c>
      <c r="F614" s="16">
        <f t="shared" si="19"/>
        <v>-1.0888935662667465E-2</v>
      </c>
      <c r="G614" s="16"/>
    </row>
    <row r="615" spans="2:7" ht="15" thickBot="1" x14ac:dyDescent="0.4">
      <c r="B615" s="172">
        <v>2771.55</v>
      </c>
      <c r="D615" s="43">
        <v>17816.25</v>
      </c>
      <c r="E615" s="16">
        <f t="shared" si="18"/>
        <v>-1.8367457187618008E-3</v>
      </c>
      <c r="F615" s="16">
        <f t="shared" si="19"/>
        <v>5.5253451929779818E-3</v>
      </c>
      <c r="G615" s="16"/>
    </row>
    <row r="616" spans="2:7" ht="15" thickBot="1" x14ac:dyDescent="0.4">
      <c r="B616" s="172">
        <v>2776.65</v>
      </c>
      <c r="D616" s="43">
        <v>17718.349999999999</v>
      </c>
      <c r="E616" s="16">
        <f t="shared" si="18"/>
        <v>-1.0803219359356575E-4</v>
      </c>
      <c r="F616" s="16">
        <f t="shared" si="19"/>
        <v>5.0227455785090136E-3</v>
      </c>
      <c r="G616" s="16"/>
    </row>
    <row r="617" spans="2:7" ht="15" thickBot="1" x14ac:dyDescent="0.4">
      <c r="B617" s="172">
        <v>2776.95</v>
      </c>
      <c r="D617" s="43">
        <v>17629.8</v>
      </c>
      <c r="E617" s="16">
        <f t="shared" si="18"/>
        <v>5.394543907604632E-3</v>
      </c>
      <c r="F617" s="16">
        <f t="shared" si="19"/>
        <v>1.7455063815297933E-2</v>
      </c>
      <c r="G617" s="16"/>
    </row>
    <row r="618" spans="2:7" ht="15" thickBot="1" x14ac:dyDescent="0.4">
      <c r="B618" s="172">
        <v>2762.05</v>
      </c>
      <c r="D618" s="43">
        <v>17327.349999999999</v>
      </c>
      <c r="E618" s="16">
        <f t="shared" si="18"/>
        <v>1.4955812372535737E-2</v>
      </c>
      <c r="F618" s="16">
        <f t="shared" si="19"/>
        <v>1.8279531978162122E-2</v>
      </c>
      <c r="G618" s="16"/>
    </row>
    <row r="619" spans="2:7" ht="15" thickBot="1" x14ac:dyDescent="0.4">
      <c r="B619" s="172">
        <v>2721.35</v>
      </c>
      <c r="D619" s="43">
        <v>17016.3</v>
      </c>
      <c r="E619" s="16">
        <f t="shared" si="18"/>
        <v>3.1498152184213035E-2</v>
      </c>
      <c r="F619" s="16">
        <f t="shared" si="19"/>
        <v>5.2330162164682115E-4</v>
      </c>
      <c r="G619" s="16"/>
    </row>
    <row r="620" spans="2:7" ht="15" thickBot="1" x14ac:dyDescent="0.4">
      <c r="B620" s="172">
        <v>2638.25</v>
      </c>
      <c r="D620" s="43">
        <v>17007.400000000001</v>
      </c>
      <c r="E620" s="16">
        <f t="shared" si="18"/>
        <v>1.8098674436104689E-2</v>
      </c>
      <c r="F620" s="16">
        <f t="shared" si="19"/>
        <v>8.8263556878982463E-3</v>
      </c>
      <c r="G620" s="16"/>
    </row>
    <row r="621" spans="2:7" ht="15" thickBot="1" x14ac:dyDescent="0.4">
      <c r="B621" s="172">
        <v>2591.35</v>
      </c>
      <c r="D621" s="43">
        <v>16858.599999999999</v>
      </c>
      <c r="E621" s="16">
        <f t="shared" si="18"/>
        <v>2.1704845641288273E-2</v>
      </c>
      <c r="F621" s="16">
        <f t="shared" si="19"/>
        <v>2.4081198232857037E-3</v>
      </c>
      <c r="G621" s="16"/>
    </row>
    <row r="622" spans="2:7" ht="15" thickBot="1" x14ac:dyDescent="0.4">
      <c r="B622" s="172">
        <v>2536.3000000000002</v>
      </c>
      <c r="D622" s="43">
        <v>16818.099999999999</v>
      </c>
      <c r="E622" s="16">
        <f t="shared" si="18"/>
        <v>-5.0604111093675019E-3</v>
      </c>
      <c r="F622" s="16">
        <f t="shared" si="19"/>
        <v>-1.616031027795739E-2</v>
      </c>
      <c r="G622" s="16"/>
    </row>
    <row r="623" spans="2:7" ht="15" thickBot="1" x14ac:dyDescent="0.4">
      <c r="B623" s="172">
        <v>2549.1999999999998</v>
      </c>
      <c r="D623" s="43">
        <v>17094.349999999999</v>
      </c>
      <c r="E623" s="16">
        <f t="shared" si="18"/>
        <v>9.3642968858267395E-3</v>
      </c>
      <c r="F623" s="16">
        <f t="shared" si="19"/>
        <v>1.2257695849259953E-2</v>
      </c>
      <c r="G623" s="16"/>
    </row>
    <row r="624" spans="2:7" ht="15" thickBot="1" x14ac:dyDescent="0.4">
      <c r="B624" s="172">
        <v>2525.5500000000002</v>
      </c>
      <c r="D624" s="43">
        <v>16887.349999999999</v>
      </c>
      <c r="E624" s="16">
        <f t="shared" si="18"/>
        <v>-3.6711419635365061E-2</v>
      </c>
      <c r="F624" s="16">
        <f t="shared" si="19"/>
        <v>-2.2400328812166137E-2</v>
      </c>
      <c r="G624" s="16"/>
    </row>
    <row r="625" spans="2:7" ht="15" thickBot="1" x14ac:dyDescent="0.4">
      <c r="B625" s="172">
        <v>2621.8</v>
      </c>
      <c r="D625" s="43">
        <v>17274.3</v>
      </c>
      <c r="E625" s="16">
        <f t="shared" si="18"/>
        <v>-9.1833264048977181E-3</v>
      </c>
      <c r="F625" s="16">
        <f t="shared" si="19"/>
        <v>-3.3176011724114218E-3</v>
      </c>
      <c r="G625" s="16"/>
    </row>
    <row r="626" spans="2:7" ht="15" thickBot="1" x14ac:dyDescent="0.4">
      <c r="B626" s="172">
        <v>2646.1</v>
      </c>
      <c r="D626" s="43">
        <v>17331.8</v>
      </c>
      <c r="E626" s="16">
        <f t="shared" si="18"/>
        <v>8.0572963294538447E-3</v>
      </c>
      <c r="F626" s="16">
        <f t="shared" si="19"/>
        <v>9.9049071162271574E-4</v>
      </c>
      <c r="G626" s="16"/>
    </row>
    <row r="627" spans="2:7" ht="15" thickBot="1" x14ac:dyDescent="0.4">
      <c r="B627" s="172">
        <v>2624.95</v>
      </c>
      <c r="D627" s="43">
        <v>17314.650000000001</v>
      </c>
      <c r="E627" s="16">
        <f t="shared" si="18"/>
        <v>2.1182649290021338E-2</v>
      </c>
      <c r="F627" s="16">
        <f t="shared" si="19"/>
        <v>4.2717939794676418E-3</v>
      </c>
      <c r="G627" s="16"/>
    </row>
    <row r="628" spans="2:7" ht="15" thickBot="1" x14ac:dyDescent="0.4">
      <c r="B628" s="172">
        <v>2570.5</v>
      </c>
      <c r="D628" s="43">
        <v>17241</v>
      </c>
      <c r="E628" s="16">
        <f t="shared" si="18"/>
        <v>8.7710692070717133E-3</v>
      </c>
      <c r="F628" s="16">
        <f t="shared" si="19"/>
        <v>1.5158786001748803E-2</v>
      </c>
      <c r="G628" s="16"/>
    </row>
    <row r="629" spans="2:7" ht="15" thickBot="1" x14ac:dyDescent="0.4">
      <c r="B629" s="172">
        <v>2548.15</v>
      </c>
      <c r="D629" s="43">
        <v>16983.55</v>
      </c>
      <c r="E629" s="16">
        <f t="shared" si="18"/>
        <v>-7.4508342973667041E-4</v>
      </c>
      <c r="F629" s="16">
        <f t="shared" si="19"/>
        <v>-8.1787708192202491E-3</v>
      </c>
      <c r="G629" s="16"/>
    </row>
    <row r="630" spans="2:7" ht="15" thickBot="1" x14ac:dyDescent="0.4">
      <c r="B630" s="172">
        <v>2550.0500000000002</v>
      </c>
      <c r="D630" s="43">
        <v>17123.599999999999</v>
      </c>
      <c r="E630" s="16">
        <f t="shared" si="18"/>
        <v>1.4137328437631158E-3</v>
      </c>
      <c r="F630" s="16">
        <f t="shared" si="19"/>
        <v>6.4210504662240986E-3</v>
      </c>
      <c r="G630" s="16"/>
    </row>
    <row r="631" spans="2:7" ht="15" thickBot="1" x14ac:dyDescent="0.4">
      <c r="B631" s="172">
        <v>2546.4499999999998</v>
      </c>
      <c r="D631" s="43">
        <v>17014.349999999999</v>
      </c>
      <c r="E631" s="16">
        <f t="shared" si="18"/>
        <v>4.160258685279361E-3</v>
      </c>
      <c r="F631" s="16">
        <f t="shared" si="19"/>
        <v>-9.9704987285942348E-3</v>
      </c>
      <c r="G631" s="16"/>
    </row>
    <row r="632" spans="2:7" ht="15" thickBot="1" x14ac:dyDescent="0.4">
      <c r="B632" s="172">
        <v>2535.9</v>
      </c>
      <c r="D632" s="43">
        <v>17185.7</v>
      </c>
      <c r="E632" s="16">
        <f t="shared" si="18"/>
        <v>-6.9702784195480039E-3</v>
      </c>
      <c r="F632" s="16">
        <f t="shared" si="19"/>
        <v>-7.2840490301412375E-3</v>
      </c>
      <c r="G632" s="16"/>
    </row>
    <row r="633" spans="2:7" ht="15" thickBot="1" x14ac:dyDescent="0.4">
      <c r="B633" s="172">
        <v>2553.6999999999998</v>
      </c>
      <c r="D633" s="43">
        <v>17311.8</v>
      </c>
      <c r="E633" s="16">
        <f t="shared" si="18"/>
        <v>-3.2396565183451242E-3</v>
      </c>
      <c r="F633" s="16">
        <f t="shared" si="19"/>
        <v>-1.0016040533083359E-2</v>
      </c>
      <c r="G633" s="16"/>
    </row>
    <row r="634" spans="2:7" ht="15" thickBot="1" x14ac:dyDescent="0.4">
      <c r="B634" s="172">
        <v>2562</v>
      </c>
      <c r="D634" s="43">
        <v>17486.95</v>
      </c>
      <c r="E634" s="16">
        <f t="shared" si="18"/>
        <v>8.1851093971352373E-3</v>
      </c>
      <c r="F634" s="16">
        <f t="shared" si="19"/>
        <v>-1.4447029936187628E-3</v>
      </c>
      <c r="G634" s="16"/>
    </row>
    <row r="635" spans="2:7" ht="15" thickBot="1" x14ac:dyDescent="0.4">
      <c r="B635" s="172">
        <v>2541.1999999999998</v>
      </c>
      <c r="D635" s="43">
        <v>17512.25</v>
      </c>
      <c r="E635" s="16">
        <f t="shared" si="18"/>
        <v>-9.4911422501998688E-3</v>
      </c>
      <c r="F635" s="16">
        <f t="shared" si="19"/>
        <v>-2.9435292175166161E-3</v>
      </c>
      <c r="G635" s="16"/>
    </row>
    <row r="636" spans="2:7" ht="15" thickBot="1" x14ac:dyDescent="0.4">
      <c r="B636" s="172">
        <v>2565.5500000000002</v>
      </c>
      <c r="D636" s="43">
        <v>17563.95</v>
      </c>
      <c r="E636" s="16">
        <f t="shared" si="18"/>
        <v>-1.6732494114440888E-3</v>
      </c>
      <c r="F636" s="16">
        <f t="shared" si="19"/>
        <v>-7.0265072853781252E-4</v>
      </c>
      <c r="G636" s="16"/>
    </row>
    <row r="637" spans="2:7" ht="15" thickBot="1" x14ac:dyDescent="0.4">
      <c r="B637" s="172">
        <v>2569.85</v>
      </c>
      <c r="D637" s="43">
        <v>17576.3</v>
      </c>
      <c r="E637" s="16">
        <f t="shared" si="18"/>
        <v>-6.0914294554454962E-3</v>
      </c>
      <c r="F637" s="16">
        <f t="shared" si="19"/>
        <v>-4.5337796316905488E-3</v>
      </c>
      <c r="G637" s="16"/>
    </row>
    <row r="638" spans="2:7" ht="15" thickBot="1" x14ac:dyDescent="0.4">
      <c r="B638" s="172">
        <v>2585.6</v>
      </c>
      <c r="D638" s="43">
        <v>17656.349999999999</v>
      </c>
      <c r="E638" s="16">
        <f t="shared" si="18"/>
        <v>-9.6332471512018403E-3</v>
      </c>
      <c r="F638" s="16">
        <f t="shared" si="19"/>
        <v>-4.5441860071772089E-3</v>
      </c>
      <c r="G638" s="16"/>
    </row>
    <row r="639" spans="2:7" ht="15" thickBot="1" x14ac:dyDescent="0.4">
      <c r="B639" s="172">
        <v>2610.75</v>
      </c>
      <c r="D639" s="43">
        <v>17736.95</v>
      </c>
      <c r="E639" s="16">
        <f t="shared" si="18"/>
        <v>-1.4755552201067945E-2</v>
      </c>
      <c r="F639" s="16">
        <f t="shared" si="19"/>
        <v>-2.8026401601186635E-3</v>
      </c>
      <c r="G639" s="16"/>
    </row>
    <row r="640" spans="2:7" ht="15" thickBot="1" x14ac:dyDescent="0.4">
      <c r="B640" s="172">
        <v>2649.85</v>
      </c>
      <c r="D640" s="43">
        <v>17786.8</v>
      </c>
      <c r="E640" s="16">
        <f t="shared" si="18"/>
        <v>-1.0086482245923345E-2</v>
      </c>
      <c r="F640" s="16">
        <f t="shared" si="19"/>
        <v>-1.2513740686867836E-2</v>
      </c>
      <c r="G640" s="16"/>
    </row>
    <row r="641" spans="2:7" ht="15" thickBot="1" x14ac:dyDescent="0.4">
      <c r="B641" s="172">
        <v>2676.85</v>
      </c>
      <c r="D641" s="43">
        <v>18012.2</v>
      </c>
      <c r="E641" s="16">
        <f t="shared" si="18"/>
        <v>1.3841348222134453E-3</v>
      </c>
      <c r="F641" s="16">
        <f t="shared" si="19"/>
        <v>-7.3407034289683093E-3</v>
      </c>
      <c r="G641" s="16"/>
    </row>
    <row r="642" spans="2:7" ht="15" thickBot="1" x14ac:dyDescent="0.4">
      <c r="B642" s="172">
        <v>2673.15</v>
      </c>
      <c r="D642" s="43">
        <v>18145.400000000001</v>
      </c>
      <c r="E642" s="16">
        <f t="shared" si="18"/>
        <v>1.1044081771591774E-2</v>
      </c>
      <c r="F642" s="16">
        <f t="shared" si="19"/>
        <v>3.4590786297514775E-3</v>
      </c>
      <c r="G642" s="16"/>
    </row>
    <row r="643" spans="2:7" ht="15" thickBot="1" x14ac:dyDescent="0.4">
      <c r="B643" s="172">
        <v>2643.95</v>
      </c>
      <c r="D643" s="43">
        <v>18082.849999999999</v>
      </c>
      <c r="E643" s="16">
        <f t="shared" si="18"/>
        <v>-9.0690951688177091E-4</v>
      </c>
      <c r="F643" s="16">
        <f t="shared" si="19"/>
        <v>1.6701102882115126E-3</v>
      </c>
      <c r="G643" s="16"/>
    </row>
    <row r="644" spans="2:7" ht="15" thickBot="1" x14ac:dyDescent="0.4">
      <c r="B644" s="172">
        <v>2646.35</v>
      </c>
      <c r="D644" s="43">
        <v>18052.7</v>
      </c>
      <c r="E644" s="16">
        <f t="shared" ref="E644:E707" si="20">B644/B645-1</f>
        <v>2.2190891884584119E-2</v>
      </c>
      <c r="F644" s="16">
        <f t="shared" ref="F644:F707" si="21">D644/D645-1</f>
        <v>-3.5574027923818141E-3</v>
      </c>
      <c r="G644" s="16"/>
    </row>
    <row r="645" spans="2:7" ht="15" thickBot="1" x14ac:dyDescent="0.4">
      <c r="B645" s="172">
        <v>2588.9</v>
      </c>
      <c r="D645" s="43">
        <v>18117.150000000001</v>
      </c>
      <c r="E645" s="16">
        <f t="shared" si="20"/>
        <v>-1.2266076572366114E-2</v>
      </c>
      <c r="F645" s="16">
        <f t="shared" si="21"/>
        <v>-4.7053200606499423E-3</v>
      </c>
      <c r="G645" s="16"/>
    </row>
    <row r="646" spans="2:7" ht="15" thickBot="1" x14ac:dyDescent="0.4">
      <c r="B646" s="172">
        <v>2621.0500000000002</v>
      </c>
      <c r="D646" s="43">
        <v>18202.8</v>
      </c>
      <c r="E646" s="16">
        <f t="shared" si="20"/>
        <v>-1.1484065623232009E-2</v>
      </c>
      <c r="F646" s="16">
        <f t="shared" si="21"/>
        <v>2.5224431348791487E-3</v>
      </c>
      <c r="G646" s="16"/>
    </row>
    <row r="647" spans="2:7" ht="15" thickBot="1" x14ac:dyDescent="0.4">
      <c r="B647" s="172">
        <v>2651.5</v>
      </c>
      <c r="D647" s="43">
        <v>18157</v>
      </c>
      <c r="E647" s="16">
        <f t="shared" si="20"/>
        <v>-2.2488479262672834E-2</v>
      </c>
      <c r="F647" s="16">
        <f t="shared" si="21"/>
        <v>7.1443627206264626E-3</v>
      </c>
      <c r="G647" s="16"/>
    </row>
    <row r="648" spans="2:7" ht="15" thickBot="1" x14ac:dyDescent="0.4">
      <c r="B648" s="172">
        <v>2712.5</v>
      </c>
      <c r="D648" s="43">
        <v>18028.2</v>
      </c>
      <c r="E648" s="16">
        <f t="shared" si="20"/>
        <v>1.6488664043470047E-2</v>
      </c>
      <c r="F648" s="16">
        <f t="shared" si="21"/>
        <v>-1.7520722409630651E-2</v>
      </c>
      <c r="G648" s="16"/>
    </row>
    <row r="649" spans="2:7" ht="15" thickBot="1" x14ac:dyDescent="0.4">
      <c r="B649" s="172">
        <v>2668.5</v>
      </c>
      <c r="D649" s="43">
        <v>18349.7</v>
      </c>
      <c r="E649" s="16">
        <f t="shared" si="20"/>
        <v>-7.4021722957893221E-3</v>
      </c>
      <c r="F649" s="16">
        <f t="shared" si="21"/>
        <v>1.1211649203590746E-3</v>
      </c>
      <c r="G649" s="16"/>
    </row>
    <row r="650" spans="2:7" ht="15" thickBot="1" x14ac:dyDescent="0.4">
      <c r="B650" s="172">
        <v>2688.4</v>
      </c>
      <c r="D650" s="43">
        <v>18329.150000000001</v>
      </c>
      <c r="E650" s="16">
        <f t="shared" si="20"/>
        <v>-1.5508559919436005E-2</v>
      </c>
      <c r="F650" s="16">
        <f t="shared" si="21"/>
        <v>-4.0345805666344159E-3</v>
      </c>
      <c r="G650" s="16"/>
    </row>
    <row r="651" spans="2:7" ht="15" thickBot="1" x14ac:dyDescent="0.4">
      <c r="B651" s="172">
        <v>2730.75</v>
      </c>
      <c r="D651" s="43">
        <v>18403.400000000001</v>
      </c>
      <c r="E651" s="16">
        <f t="shared" si="20"/>
        <v>-3.1758199638612927E-3</v>
      </c>
      <c r="F651" s="16">
        <f t="shared" si="21"/>
        <v>-3.3949586222448147E-4</v>
      </c>
      <c r="G651" s="16"/>
    </row>
    <row r="652" spans="2:7" ht="15" thickBot="1" x14ac:dyDescent="0.4">
      <c r="B652" s="172">
        <v>2739.45</v>
      </c>
      <c r="D652" s="43">
        <v>18409.650000000001</v>
      </c>
      <c r="E652" s="16">
        <f t="shared" si="20"/>
        <v>-1.6581632653062117E-3</v>
      </c>
      <c r="F652" s="16">
        <f t="shared" si="21"/>
        <v>3.5842977774627194E-3</v>
      </c>
      <c r="G652" s="16"/>
    </row>
    <row r="653" spans="2:7" ht="15" thickBot="1" x14ac:dyDescent="0.4">
      <c r="B653" s="172">
        <v>2744</v>
      </c>
      <c r="D653" s="43">
        <v>18343.900000000001</v>
      </c>
      <c r="E653" s="16">
        <f t="shared" si="20"/>
        <v>7.6565741879808247E-3</v>
      </c>
      <c r="F653" s="16">
        <f t="shared" si="21"/>
        <v>1.980046592544582E-3</v>
      </c>
      <c r="G653" s="16"/>
    </row>
    <row r="654" spans="2:7" ht="15" thickBot="1" x14ac:dyDescent="0.4">
      <c r="B654" s="172">
        <v>2723.15</v>
      </c>
      <c r="D654" s="43">
        <v>18307.650000000001</v>
      </c>
      <c r="E654" s="16">
        <f t="shared" si="20"/>
        <v>1.7068479336682429E-2</v>
      </c>
      <c r="F654" s="16">
        <f t="shared" si="21"/>
        <v>8.133282305292644E-3</v>
      </c>
      <c r="G654" s="16"/>
    </row>
    <row r="655" spans="2:7" ht="15" thickBot="1" x14ac:dyDescent="0.4">
      <c r="B655" s="172">
        <v>2677.45</v>
      </c>
      <c r="D655" s="43">
        <v>18159.95</v>
      </c>
      <c r="E655" s="16">
        <f t="shared" si="20"/>
        <v>-2.979016552160707E-3</v>
      </c>
      <c r="F655" s="16">
        <f t="shared" si="21"/>
        <v>-4.6179059646352938E-3</v>
      </c>
      <c r="G655" s="16"/>
    </row>
    <row r="656" spans="2:7" ht="15" thickBot="1" x14ac:dyDescent="0.4">
      <c r="B656" s="172">
        <v>2685.45</v>
      </c>
      <c r="D656" s="43">
        <v>18244.2</v>
      </c>
      <c r="E656" s="16">
        <f t="shared" si="20"/>
        <v>1.0004325178178508E-2</v>
      </c>
      <c r="F656" s="16">
        <f t="shared" si="21"/>
        <v>-1.261821018489373E-3</v>
      </c>
      <c r="G656" s="16"/>
    </row>
    <row r="657" spans="2:7" ht="15" thickBot="1" x14ac:dyDescent="0.4">
      <c r="B657" s="172">
        <v>2658.85</v>
      </c>
      <c r="D657" s="43">
        <v>18267.25</v>
      </c>
      <c r="E657" s="16">
        <f t="shared" si="20"/>
        <v>-5.3308892297332378E-3</v>
      </c>
      <c r="F657" s="16">
        <f t="shared" si="21"/>
        <v>-1.1731704546069199E-2</v>
      </c>
      <c r="G657" s="16"/>
    </row>
    <row r="658" spans="2:7" ht="15" thickBot="1" x14ac:dyDescent="0.4">
      <c r="B658" s="172">
        <v>2673.1</v>
      </c>
      <c r="D658" s="43">
        <v>18484.099999999999</v>
      </c>
      <c r="E658" s="16">
        <f t="shared" si="20"/>
        <v>-1.2942414563447469E-2</v>
      </c>
      <c r="F658" s="16">
        <f t="shared" si="21"/>
        <v>-1.5475820718154898E-3</v>
      </c>
      <c r="G658" s="16"/>
    </row>
    <row r="659" spans="2:7" ht="15" thickBot="1" x14ac:dyDescent="0.4">
      <c r="B659" s="172">
        <v>2708.15</v>
      </c>
      <c r="D659" s="43">
        <v>18512.75</v>
      </c>
      <c r="E659" s="16">
        <f t="shared" si="20"/>
        <v>-2.7070235315250546E-2</v>
      </c>
      <c r="F659" s="16">
        <f t="shared" si="21"/>
        <v>-2.6935664166138906E-3</v>
      </c>
      <c r="G659" s="16"/>
    </row>
    <row r="660" spans="2:7" ht="15" thickBot="1" x14ac:dyDescent="0.4">
      <c r="B660" s="172">
        <v>2783.5</v>
      </c>
      <c r="D660" s="43">
        <v>18562.75</v>
      </c>
      <c r="E660" s="16">
        <f t="shared" si="20"/>
        <v>-1.5822505082648264E-2</v>
      </c>
      <c r="F660" s="16">
        <f t="shared" si="21"/>
        <v>-2.9702358732519585E-3</v>
      </c>
      <c r="G660" s="16"/>
    </row>
    <row r="661" spans="2:7" ht="15" thickBot="1" x14ac:dyDescent="0.4">
      <c r="B661" s="172">
        <v>2828.25</v>
      </c>
      <c r="D661" s="43">
        <v>18618.05</v>
      </c>
      <c r="E661" s="16">
        <f t="shared" si="20"/>
        <v>-8.2927171359444829E-3</v>
      </c>
      <c r="F661" s="16">
        <f t="shared" si="21"/>
        <v>-7.4793358690928846E-3</v>
      </c>
      <c r="G661" s="16"/>
    </row>
    <row r="662" spans="2:7" ht="15" thickBot="1" x14ac:dyDescent="0.4">
      <c r="B662" s="172">
        <v>2851.9</v>
      </c>
      <c r="D662" s="43">
        <v>18758.349999999999</v>
      </c>
      <c r="E662" s="16">
        <f t="shared" si="20"/>
        <v>-6.9294519116930298E-3</v>
      </c>
      <c r="F662" s="16">
        <f t="shared" si="21"/>
        <v>-2.8784053156146738E-3</v>
      </c>
      <c r="G662" s="16"/>
    </row>
    <row r="663" spans="2:7" ht="15" thickBot="1" x14ac:dyDescent="0.4">
      <c r="B663" s="172">
        <v>2871.8</v>
      </c>
      <c r="D663" s="43">
        <v>18812.5</v>
      </c>
      <c r="E663" s="16">
        <f t="shared" si="20"/>
        <v>1.8206314595188733E-2</v>
      </c>
      <c r="F663" s="16">
        <f t="shared" si="21"/>
        <v>6.2258973796673889E-3</v>
      </c>
      <c r="G663" s="16"/>
    </row>
    <row r="664" spans="2:7" ht="15" thickBot="1" x14ac:dyDescent="0.4">
      <c r="B664" s="172">
        <v>2820.45</v>
      </c>
      <c r="D664" s="43">
        <v>18696.099999999999</v>
      </c>
      <c r="E664" s="16">
        <f t="shared" si="20"/>
        <v>-2.5462840167631562E-3</v>
      </c>
      <c r="F664" s="16">
        <f t="shared" si="21"/>
        <v>-2.6469102002302236E-4</v>
      </c>
      <c r="G664" s="16"/>
    </row>
    <row r="665" spans="2:7" ht="15" thickBot="1" x14ac:dyDescent="0.4">
      <c r="B665" s="172">
        <v>2827.65</v>
      </c>
      <c r="D665" s="43">
        <v>18701.05</v>
      </c>
      <c r="E665" s="16">
        <f t="shared" si="20"/>
        <v>1.0307989138202078E-2</v>
      </c>
      <c r="F665" s="16">
        <f t="shared" si="21"/>
        <v>3.1272210376687148E-3</v>
      </c>
      <c r="G665" s="16"/>
    </row>
    <row r="666" spans="2:7" ht="15" thickBot="1" x14ac:dyDescent="0.4">
      <c r="B666" s="172">
        <v>2798.8</v>
      </c>
      <c r="D666" s="43">
        <v>18642.75</v>
      </c>
      <c r="E666" s="16">
        <f t="shared" si="20"/>
        <v>1.4223333514522318E-2</v>
      </c>
      <c r="F666" s="16">
        <f t="shared" si="21"/>
        <v>4.4314538940222192E-3</v>
      </c>
      <c r="G666" s="16"/>
    </row>
    <row r="667" spans="2:7" ht="15" thickBot="1" x14ac:dyDescent="0.4">
      <c r="B667" s="172">
        <v>2759.55</v>
      </c>
      <c r="D667" s="43">
        <v>18560.5</v>
      </c>
      <c r="E667" s="16">
        <f t="shared" si="20"/>
        <v>4.8944964107033861E-4</v>
      </c>
      <c r="F667" s="16">
        <f t="shared" si="21"/>
        <v>-2.6250245172453335E-3</v>
      </c>
      <c r="G667" s="16"/>
    </row>
    <row r="668" spans="2:7" ht="15" thickBot="1" x14ac:dyDescent="0.4">
      <c r="B668" s="172">
        <v>2758.2</v>
      </c>
      <c r="D668" s="43">
        <v>18609.349999999999</v>
      </c>
      <c r="E668" s="16">
        <f t="shared" si="20"/>
        <v>2.4350354352171699E-3</v>
      </c>
      <c r="F668" s="16">
        <f t="shared" si="21"/>
        <v>6.0957148881415346E-3</v>
      </c>
      <c r="G668" s="16"/>
    </row>
    <row r="669" spans="2:7" ht="15" thickBot="1" x14ac:dyDescent="0.4">
      <c r="B669" s="172">
        <v>2751.5</v>
      </c>
      <c r="D669" s="43">
        <v>18496.599999999999</v>
      </c>
      <c r="E669" s="16">
        <f t="shared" si="20"/>
        <v>-7.1983979505312323E-3</v>
      </c>
      <c r="F669" s="16">
        <f t="shared" si="21"/>
        <v>-2.9734310420970189E-5</v>
      </c>
      <c r="G669" s="16"/>
    </row>
    <row r="670" spans="2:7" ht="15" thickBot="1" x14ac:dyDescent="0.4">
      <c r="B670" s="172">
        <v>2771.45</v>
      </c>
      <c r="D670" s="43">
        <v>18497.150000000001</v>
      </c>
      <c r="E670" s="16">
        <f t="shared" si="20"/>
        <v>4.3486926742648535E-3</v>
      </c>
      <c r="F670" s="16">
        <f t="shared" si="21"/>
        <v>-5.957115219260456E-3</v>
      </c>
      <c r="G670" s="16"/>
    </row>
    <row r="671" spans="2:7" ht="15" thickBot="1" x14ac:dyDescent="0.4">
      <c r="B671" s="172">
        <v>2759.45</v>
      </c>
      <c r="D671" s="43">
        <v>18608</v>
      </c>
      <c r="E671" s="16">
        <f t="shared" si="20"/>
        <v>4.4042440897591462E-3</v>
      </c>
      <c r="F671" s="16">
        <f t="shared" si="21"/>
        <v>-2.8027416493839885E-3</v>
      </c>
      <c r="G671" s="16"/>
    </row>
    <row r="672" spans="2:7" ht="15" thickBot="1" x14ac:dyDescent="0.4">
      <c r="B672" s="172">
        <v>2747.35</v>
      </c>
      <c r="D672" s="43">
        <v>18660.3</v>
      </c>
      <c r="E672" s="16">
        <f t="shared" si="20"/>
        <v>-8.4811519930707568E-3</v>
      </c>
      <c r="F672" s="16">
        <f t="shared" si="21"/>
        <v>1.3326165224899267E-2</v>
      </c>
      <c r="G672" s="16"/>
    </row>
    <row r="673" spans="2:7" ht="15" thickBot="1" x14ac:dyDescent="0.4">
      <c r="B673" s="172">
        <v>2770.85</v>
      </c>
      <c r="D673" s="43">
        <v>18414.900000000001</v>
      </c>
      <c r="E673" s="16">
        <f t="shared" si="20"/>
        <v>1.6881663210818854E-2</v>
      </c>
      <c r="F673" s="16">
        <f t="shared" si="21"/>
        <v>7.9862061415514329E-3</v>
      </c>
      <c r="G673" s="16"/>
    </row>
    <row r="674" spans="2:7" ht="15" thickBot="1" x14ac:dyDescent="0.4">
      <c r="B674" s="172">
        <v>2724.85</v>
      </c>
      <c r="D674" s="43">
        <v>18269</v>
      </c>
      <c r="E674" s="16">
        <f t="shared" si="20"/>
        <v>-2.0049629576350481E-2</v>
      </c>
      <c r="F674" s="16">
        <f t="shared" si="21"/>
        <v>-8.2218404002074585E-3</v>
      </c>
      <c r="G674" s="16"/>
    </row>
    <row r="675" spans="2:7" ht="15" thickBot="1" x14ac:dyDescent="0.4">
      <c r="B675" s="172">
        <v>2780.6</v>
      </c>
      <c r="D675" s="43">
        <v>18420.45</v>
      </c>
      <c r="E675" s="16">
        <f t="shared" si="20"/>
        <v>2.90346431984978E-3</v>
      </c>
      <c r="F675" s="16">
        <f t="shared" si="21"/>
        <v>1.911853491648241E-3</v>
      </c>
      <c r="G675" s="16"/>
    </row>
    <row r="676" spans="2:7" ht="15" thickBot="1" x14ac:dyDescent="0.4">
      <c r="B676" s="172">
        <v>2772.55</v>
      </c>
      <c r="D676" s="43">
        <v>18385.3</v>
      </c>
      <c r="E676" s="16">
        <f t="shared" si="20"/>
        <v>5.4760739088652866E-3</v>
      </c>
      <c r="F676" s="16">
        <f t="shared" si="21"/>
        <v>1.0231275172948084E-2</v>
      </c>
      <c r="G676" s="16"/>
    </row>
    <row r="677" spans="2:7" ht="15" thickBot="1" x14ac:dyDescent="0.4">
      <c r="B677" s="172">
        <v>2757.45</v>
      </c>
      <c r="D677" s="43">
        <v>18199.099999999999</v>
      </c>
      <c r="E677" s="16">
        <f t="shared" si="20"/>
        <v>1.0906624628808093E-2</v>
      </c>
      <c r="F677" s="16">
        <f t="shared" si="21"/>
        <v>3.9581075005448163E-3</v>
      </c>
      <c r="G677" s="16"/>
    </row>
    <row r="678" spans="2:7" ht="15" thickBot="1" x14ac:dyDescent="0.4">
      <c r="B678" s="172">
        <v>2727.7</v>
      </c>
      <c r="D678" s="43">
        <v>18127.349999999999</v>
      </c>
      <c r="E678" s="16">
        <f t="shared" si="20"/>
        <v>3.4453988660712476E-2</v>
      </c>
      <c r="F678" s="16">
        <f t="shared" si="21"/>
        <v>1.8001549969674402E-2</v>
      </c>
      <c r="G678" s="16"/>
    </row>
    <row r="679" spans="2:7" ht="15" thickBot="1" x14ac:dyDescent="0.4">
      <c r="B679" s="172">
        <v>2636.85</v>
      </c>
      <c r="D679" s="43">
        <v>17806.8</v>
      </c>
      <c r="E679" s="16">
        <f t="shared" si="20"/>
        <v>-1.8408219484048804E-2</v>
      </c>
      <c r="F679" s="16">
        <f t="shared" si="21"/>
        <v>-1.1535088206232724E-2</v>
      </c>
      <c r="G679" s="16"/>
    </row>
    <row r="680" spans="2:7" ht="15" thickBot="1" x14ac:dyDescent="0.4">
      <c r="B680" s="172">
        <v>2686.3</v>
      </c>
      <c r="D680" s="43">
        <v>18014.599999999999</v>
      </c>
      <c r="E680" s="16">
        <f t="shared" si="20"/>
        <v>-5.9392750753972656E-3</v>
      </c>
      <c r="F680" s="16">
        <f t="shared" si="21"/>
        <v>-6.4911787252582842E-3</v>
      </c>
      <c r="G680" s="16"/>
    </row>
    <row r="681" spans="2:7" ht="15" thickBot="1" x14ac:dyDescent="0.4">
      <c r="B681" s="172">
        <v>2702.35</v>
      </c>
      <c r="D681" s="43">
        <v>18132.3</v>
      </c>
      <c r="E681" s="16">
        <f t="shared" si="20"/>
        <v>2.1323147667433595E-3</v>
      </c>
      <c r="F681" s="16">
        <f t="shared" si="21"/>
        <v>5.4076424334392748E-4</v>
      </c>
      <c r="G681" s="16"/>
    </row>
    <row r="682" spans="2:7" ht="15" thickBot="1" x14ac:dyDescent="0.4">
      <c r="B682" s="172">
        <v>2696.6</v>
      </c>
      <c r="D682" s="43">
        <v>18122.5</v>
      </c>
      <c r="E682" s="16">
        <f t="shared" si="20"/>
        <v>-9.4041584012930501E-3</v>
      </c>
      <c r="F682" s="16">
        <f t="shared" si="21"/>
        <v>-3.7655983728217546E-3</v>
      </c>
      <c r="G682" s="16"/>
    </row>
    <row r="683" spans="2:7" ht="15" thickBot="1" x14ac:dyDescent="0.4">
      <c r="B683" s="172">
        <v>2722.2</v>
      </c>
      <c r="D683" s="43">
        <v>18191</v>
      </c>
      <c r="E683" s="16">
        <f t="shared" si="20"/>
        <v>-6.07919382222466E-3</v>
      </c>
      <c r="F683" s="16">
        <f t="shared" si="21"/>
        <v>4.7334206005975599E-3</v>
      </c>
      <c r="G683" s="16"/>
    </row>
    <row r="684" spans="2:7" ht="15" thickBot="1" x14ac:dyDescent="0.4">
      <c r="B684" s="172">
        <v>2738.85</v>
      </c>
      <c r="D684" s="43">
        <v>18105.3</v>
      </c>
      <c r="E684" s="16">
        <f t="shared" si="20"/>
        <v>8.4502374903345778E-3</v>
      </c>
      <c r="F684" s="16">
        <f t="shared" si="21"/>
        <v>-5.063896315143146E-3</v>
      </c>
      <c r="G684" s="16"/>
    </row>
    <row r="685" spans="2:7" ht="15" thickBot="1" x14ac:dyDescent="0.4">
      <c r="B685" s="172">
        <v>2715.9</v>
      </c>
      <c r="D685" s="43">
        <v>18197.45</v>
      </c>
      <c r="E685" s="16">
        <f t="shared" si="20"/>
        <v>-1.6541685046316257E-3</v>
      </c>
      <c r="F685" s="16">
        <f t="shared" si="21"/>
        <v>-1.92512841045267E-3</v>
      </c>
      <c r="G685" s="16"/>
    </row>
    <row r="686" spans="2:7" ht="15" thickBot="1" x14ac:dyDescent="0.4">
      <c r="B686" s="172">
        <v>2720.4</v>
      </c>
      <c r="D686" s="43">
        <v>18232.55</v>
      </c>
      <c r="E686" s="16">
        <f t="shared" si="20"/>
        <v>4.0969992248920395E-3</v>
      </c>
      <c r="F686" s="16">
        <f t="shared" si="21"/>
        <v>1.0508259458680502E-2</v>
      </c>
      <c r="G686" s="16"/>
    </row>
    <row r="687" spans="2:7" ht="15" thickBot="1" x14ac:dyDescent="0.4">
      <c r="B687" s="172">
        <v>2709.3</v>
      </c>
      <c r="D687" s="43">
        <v>18042.95</v>
      </c>
      <c r="E687" s="16">
        <f t="shared" si="20"/>
        <v>-2.0905986303597524E-2</v>
      </c>
      <c r="F687" s="16">
        <f t="shared" si="21"/>
        <v>2.8234535616922241E-3</v>
      </c>
      <c r="G687" s="16"/>
    </row>
    <row r="688" spans="2:7" ht="15" thickBot="1" x14ac:dyDescent="0.4">
      <c r="B688" s="172">
        <v>2767.15</v>
      </c>
      <c r="D688" s="43">
        <v>17992.150000000001</v>
      </c>
      <c r="E688" s="16">
        <f t="shared" si="20"/>
        <v>8.9697544256257533E-3</v>
      </c>
      <c r="F688" s="16">
        <f t="shared" si="21"/>
        <v>7.4302400129904189E-3</v>
      </c>
      <c r="G688" s="16"/>
    </row>
    <row r="689" spans="2:7" ht="15" thickBot="1" x14ac:dyDescent="0.4">
      <c r="B689" s="172">
        <v>2742.55</v>
      </c>
      <c r="D689" s="43">
        <v>17859.45</v>
      </c>
      <c r="E689" s="16">
        <f t="shared" si="20"/>
        <v>-3.5605936744962374E-3</v>
      </c>
      <c r="F689" s="16">
        <f t="shared" si="21"/>
        <v>-1.3355468145758276E-2</v>
      </c>
      <c r="G689" s="16"/>
    </row>
    <row r="690" spans="2:7" ht="15" thickBot="1" x14ac:dyDescent="0.4">
      <c r="B690" s="172">
        <v>2752.35</v>
      </c>
      <c r="D690" s="43">
        <v>18101.2</v>
      </c>
      <c r="E690" s="16">
        <f t="shared" si="20"/>
        <v>1.4859608045574291E-2</v>
      </c>
      <c r="F690" s="16">
        <f t="shared" si="21"/>
        <v>1.0441466661828658E-2</v>
      </c>
      <c r="G690" s="16"/>
    </row>
    <row r="691" spans="2:7" ht="15" thickBot="1" x14ac:dyDescent="0.4">
      <c r="B691" s="172">
        <v>2712.05</v>
      </c>
      <c r="D691" s="43">
        <v>17914.150000000001</v>
      </c>
      <c r="E691" s="16">
        <f t="shared" si="20"/>
        <v>6.7935034802784067E-3</v>
      </c>
      <c r="F691" s="16">
        <f t="shared" si="21"/>
        <v>1.0309739211096236E-3</v>
      </c>
      <c r="G691" s="16"/>
    </row>
    <row r="692" spans="2:7" ht="15" thickBot="1" x14ac:dyDescent="0.4">
      <c r="B692" s="172">
        <v>2693.75</v>
      </c>
      <c r="D692" s="43">
        <v>17895.7</v>
      </c>
      <c r="E692" s="16">
        <f t="shared" si="20"/>
        <v>-1.8558040270943987E-4</v>
      </c>
      <c r="F692" s="16">
        <f t="shared" si="21"/>
        <v>2.0998756873593649E-3</v>
      </c>
      <c r="G692" s="16"/>
    </row>
    <row r="693" spans="2:7" ht="15" thickBot="1" x14ac:dyDescent="0.4">
      <c r="B693" s="172">
        <v>2694.25</v>
      </c>
      <c r="D693" s="43">
        <v>17858.2</v>
      </c>
      <c r="E693" s="16">
        <f t="shared" si="20"/>
        <v>-1.2534589235646543E-2</v>
      </c>
      <c r="F693" s="16">
        <f t="shared" si="21"/>
        <v>-5.479879264448595E-3</v>
      </c>
      <c r="G693" s="16"/>
    </row>
    <row r="694" spans="2:7" ht="15" thickBot="1" x14ac:dyDescent="0.4">
      <c r="B694" s="172">
        <v>2728.45</v>
      </c>
      <c r="D694" s="43">
        <v>17956.599999999999</v>
      </c>
      <c r="E694" s="16">
        <f t="shared" si="20"/>
        <v>-1.0929456970927287E-2</v>
      </c>
      <c r="F694" s="16">
        <f t="shared" si="21"/>
        <v>3.4507134734294009E-3</v>
      </c>
      <c r="G694" s="16"/>
    </row>
    <row r="695" spans="2:7" ht="15" thickBot="1" x14ac:dyDescent="0.4">
      <c r="B695" s="172">
        <v>2758.6</v>
      </c>
      <c r="D695" s="43">
        <v>17894.849999999999</v>
      </c>
      <c r="E695" s="16">
        <f t="shared" si="20"/>
        <v>-2.9817301263169727E-3</v>
      </c>
      <c r="F695" s="16">
        <f t="shared" si="21"/>
        <v>-8.776788731146179E-3</v>
      </c>
      <c r="G695" s="16"/>
    </row>
    <row r="696" spans="2:7" ht="15" thickBot="1" x14ac:dyDescent="0.4">
      <c r="B696" s="172">
        <v>2766.85</v>
      </c>
      <c r="D696" s="43">
        <v>18053.3</v>
      </c>
      <c r="E696" s="16">
        <f t="shared" si="20"/>
        <v>-1.119153775338888E-3</v>
      </c>
      <c r="F696" s="16">
        <f t="shared" si="21"/>
        <v>-6.1683369712116631E-3</v>
      </c>
      <c r="G696" s="16"/>
    </row>
    <row r="697" spans="2:7" ht="15" thickBot="1" x14ac:dyDescent="0.4">
      <c r="B697" s="172">
        <v>2769.95</v>
      </c>
      <c r="D697" s="43">
        <v>18165.349999999999</v>
      </c>
      <c r="E697" s="16">
        <f t="shared" si="20"/>
        <v>1.4442779512902071E-4</v>
      </c>
      <c r="F697" s="16">
        <f t="shared" si="21"/>
        <v>3.1754183958889737E-3</v>
      </c>
      <c r="G697" s="16"/>
    </row>
    <row r="698" spans="2:7" ht="15" thickBot="1" x14ac:dyDescent="0.4">
      <c r="B698" s="172">
        <v>2769.55</v>
      </c>
      <c r="D698" s="43">
        <v>18107.849999999999</v>
      </c>
      <c r="E698" s="16">
        <f t="shared" si="20"/>
        <v>8.4108576526062961E-3</v>
      </c>
      <c r="F698" s="16">
        <f t="shared" si="21"/>
        <v>4.4487218245305993E-3</v>
      </c>
      <c r="G698" s="16"/>
    </row>
    <row r="699" spans="2:7" ht="15" thickBot="1" x14ac:dyDescent="0.4">
      <c r="B699" s="172">
        <v>2746.45</v>
      </c>
      <c r="D699" s="43">
        <v>18027.650000000001</v>
      </c>
      <c r="E699" s="16">
        <f t="shared" si="20"/>
        <v>-1.0145606573920607E-2</v>
      </c>
      <c r="F699" s="16">
        <f t="shared" si="21"/>
        <v>-5.016957758760876E-3</v>
      </c>
      <c r="G699" s="16"/>
    </row>
    <row r="700" spans="2:7" ht="15" thickBot="1" x14ac:dyDescent="0.4">
      <c r="B700" s="172">
        <v>2774.6</v>
      </c>
      <c r="D700" s="43">
        <v>18118.55</v>
      </c>
      <c r="E700" s="16">
        <f t="shared" si="20"/>
        <v>9.7406111331577172E-4</v>
      </c>
      <c r="F700" s="16">
        <f t="shared" si="21"/>
        <v>1.379820402580556E-5</v>
      </c>
      <c r="G700" s="16"/>
    </row>
    <row r="701" spans="2:7" ht="15" thickBot="1" x14ac:dyDescent="0.4">
      <c r="B701" s="172">
        <v>2771.9</v>
      </c>
      <c r="D701" s="43">
        <v>18118.3</v>
      </c>
      <c r="E701" s="16">
        <f t="shared" si="20"/>
        <v>-4.7037701974864676E-3</v>
      </c>
      <c r="F701" s="16">
        <f t="shared" si="21"/>
        <v>1.2650940786219422E-2</v>
      </c>
      <c r="G701" s="16"/>
    </row>
    <row r="702" spans="2:7" ht="15" thickBot="1" x14ac:dyDescent="0.4">
      <c r="B702" s="172">
        <v>2785</v>
      </c>
      <c r="D702" s="43">
        <v>17891.95</v>
      </c>
      <c r="E702" s="16">
        <f t="shared" si="20"/>
        <v>1.7853553350510643E-2</v>
      </c>
      <c r="F702" s="16">
        <f t="shared" si="21"/>
        <v>1.6336871284654109E-2</v>
      </c>
      <c r="G702" s="16"/>
    </row>
    <row r="703" spans="2:7" ht="15" thickBot="1" x14ac:dyDescent="0.4">
      <c r="B703" s="172">
        <v>2736.15</v>
      </c>
      <c r="D703" s="43">
        <v>17604.349999999999</v>
      </c>
      <c r="E703" s="16">
        <f t="shared" si="20"/>
        <v>1.2526366428597724E-2</v>
      </c>
      <c r="F703" s="16">
        <f t="shared" si="21"/>
        <v>-2.5270625164670601E-3</v>
      </c>
      <c r="G703" s="16"/>
    </row>
    <row r="704" spans="2:7" ht="15" thickBot="1" x14ac:dyDescent="0.4">
      <c r="B704" s="172">
        <v>2702.3</v>
      </c>
      <c r="D704" s="43">
        <v>17648.95</v>
      </c>
      <c r="E704" s="16">
        <f t="shared" si="20"/>
        <v>-2.2057359992762038E-2</v>
      </c>
      <c r="F704" s="16">
        <f t="shared" si="21"/>
        <v>-7.4736088188587235E-4</v>
      </c>
      <c r="G704" s="16"/>
    </row>
    <row r="705" spans="2:7" ht="15" thickBot="1" x14ac:dyDescent="0.4">
      <c r="B705" s="172">
        <v>2763.25</v>
      </c>
      <c r="D705" s="43">
        <v>17662.150000000001</v>
      </c>
      <c r="E705" s="16">
        <f t="shared" si="20"/>
        <v>1.3200110000916698E-2</v>
      </c>
      <c r="F705" s="16">
        <f t="shared" si="21"/>
        <v>2.6027031783066867E-3</v>
      </c>
      <c r="G705" s="16"/>
    </row>
    <row r="706" spans="2:7" ht="15" thickBot="1" x14ac:dyDescent="0.4">
      <c r="B706" s="172">
        <v>2727.25</v>
      </c>
      <c r="D706" s="43">
        <v>17616.3</v>
      </c>
      <c r="E706" s="16">
        <f t="shared" si="20"/>
        <v>2.4915913489543362E-2</v>
      </c>
      <c r="F706" s="16">
        <f t="shared" si="21"/>
        <v>3.3502930086748428E-4</v>
      </c>
      <c r="G706" s="16"/>
    </row>
    <row r="707" spans="2:7" ht="15" thickBot="1" x14ac:dyDescent="0.4">
      <c r="B707" s="172">
        <v>2660.95</v>
      </c>
      <c r="D707" s="43">
        <v>17610.400000000001</v>
      </c>
      <c r="E707" s="16">
        <f t="shared" si="20"/>
        <v>2.5242535556182499E-3</v>
      </c>
      <c r="F707" s="16">
        <f t="shared" si="21"/>
        <v>-1.3646763619458824E-2</v>
      </c>
      <c r="G707" s="16"/>
    </row>
    <row r="708" spans="2:7" ht="15" thickBot="1" x14ac:dyDescent="0.4">
      <c r="B708" s="172">
        <v>2654.25</v>
      </c>
      <c r="D708" s="43">
        <v>17854.05</v>
      </c>
      <c r="E708" s="16">
        <f t="shared" ref="E708:E771" si="22">B708/B709-1</f>
        <v>-1.5120593692022233E-2</v>
      </c>
      <c r="F708" s="16">
        <f t="shared" ref="F708:F771" si="23">D708/D709-1</f>
        <v>5.0352949123537716E-3</v>
      </c>
      <c r="G708" s="16"/>
    </row>
    <row r="709" spans="2:7" ht="15" thickBot="1" x14ac:dyDescent="0.4">
      <c r="B709" s="172">
        <v>2695</v>
      </c>
      <c r="D709" s="43">
        <v>17764.599999999999</v>
      </c>
      <c r="E709" s="16">
        <f t="shared" si="22"/>
        <v>1.5984317273618265E-2</v>
      </c>
      <c r="F709" s="16">
        <f t="shared" si="23"/>
        <v>2.4320740343648506E-3</v>
      </c>
      <c r="G709" s="16"/>
    </row>
    <row r="710" spans="2:7" ht="15" thickBot="1" x14ac:dyDescent="0.4">
      <c r="B710" s="172">
        <v>2652.6</v>
      </c>
      <c r="D710" s="43">
        <v>17721.5</v>
      </c>
      <c r="E710" s="16">
        <f t="shared" si="22"/>
        <v>1.4514370948310429E-2</v>
      </c>
      <c r="F710" s="16">
        <f t="shared" si="23"/>
        <v>-8.4043487748787227E-3</v>
      </c>
      <c r="G710" s="16"/>
    </row>
    <row r="711" spans="2:7" ht="15" thickBot="1" x14ac:dyDescent="0.4">
      <c r="B711" s="172">
        <v>2614.65</v>
      </c>
      <c r="D711" s="43">
        <v>17871.7</v>
      </c>
      <c r="E711" s="16">
        <f t="shared" si="22"/>
        <v>2.1666927164739169E-2</v>
      </c>
      <c r="F711" s="16">
        <f t="shared" si="23"/>
        <v>-1.2155285872763599E-3</v>
      </c>
      <c r="G711" s="16"/>
    </row>
    <row r="712" spans="2:7" ht="15" thickBot="1" x14ac:dyDescent="0.4">
      <c r="B712" s="172">
        <v>2559.1999999999998</v>
      </c>
      <c r="D712" s="43">
        <v>17893.45</v>
      </c>
      <c r="E712" s="16">
        <f t="shared" si="22"/>
        <v>-9.3291526342277331E-3</v>
      </c>
      <c r="F712" s="16">
        <f t="shared" si="23"/>
        <v>2.0692744938817231E-3</v>
      </c>
      <c r="G712" s="16"/>
    </row>
    <row r="713" spans="2:7" ht="15" thickBot="1" x14ac:dyDescent="0.4">
      <c r="B713" s="172">
        <v>2583.3000000000002</v>
      </c>
      <c r="D713" s="43">
        <v>17856.5</v>
      </c>
      <c r="E713" s="16">
        <f t="shared" si="22"/>
        <v>8.490952743456015E-3</v>
      </c>
      <c r="F713" s="16">
        <f t="shared" si="23"/>
        <v>4.8168635240757318E-3</v>
      </c>
      <c r="G713" s="16"/>
    </row>
    <row r="714" spans="2:7" ht="15" thickBot="1" x14ac:dyDescent="0.4">
      <c r="B714" s="172">
        <v>2561.5500000000002</v>
      </c>
      <c r="D714" s="43">
        <v>17770.900000000001</v>
      </c>
      <c r="E714" s="16">
        <f t="shared" si="22"/>
        <v>7.4926253687317423E-3</v>
      </c>
      <c r="F714" s="16">
        <f t="shared" si="23"/>
        <v>-8.8651048391368281E-3</v>
      </c>
      <c r="G714" s="16"/>
    </row>
    <row r="715" spans="2:7" ht="15" thickBot="1" x14ac:dyDescent="0.4">
      <c r="B715" s="172">
        <v>2542.5</v>
      </c>
      <c r="D715" s="43">
        <v>17929.849999999999</v>
      </c>
      <c r="E715" s="16">
        <f t="shared" si="22"/>
        <v>-1.1469673405909764E-2</v>
      </c>
      <c r="F715" s="16">
        <f t="shared" si="23"/>
        <v>-4.7735743803373198E-3</v>
      </c>
      <c r="G715" s="16"/>
    </row>
    <row r="716" spans="2:7" ht="15" thickBot="1" x14ac:dyDescent="0.4">
      <c r="B716" s="172">
        <v>2572</v>
      </c>
      <c r="D716" s="43">
        <v>18015.849999999999</v>
      </c>
      <c r="E716" s="16">
        <f t="shared" si="22"/>
        <v>5.9842766065631992E-3</v>
      </c>
      <c r="F716" s="16">
        <f t="shared" si="23"/>
        <v>-1.1089025468719038E-3</v>
      </c>
      <c r="G716" s="16"/>
    </row>
    <row r="717" spans="2:7" ht="15" thickBot="1" x14ac:dyDescent="0.4">
      <c r="B717" s="172">
        <v>2556.6999999999998</v>
      </c>
      <c r="D717" s="43">
        <v>18035.849999999999</v>
      </c>
      <c r="E717" s="16">
        <f t="shared" si="22"/>
        <v>8.3413854982152813E-3</v>
      </c>
      <c r="F717" s="16">
        <f t="shared" si="23"/>
        <v>5.1074999164073542E-3</v>
      </c>
      <c r="G717" s="16"/>
    </row>
    <row r="718" spans="2:7" ht="15" thickBot="1" x14ac:dyDescent="0.4">
      <c r="B718" s="172">
        <v>2535.5500000000002</v>
      </c>
      <c r="D718" s="43">
        <v>17944.2</v>
      </c>
      <c r="E718" s="16">
        <f t="shared" si="22"/>
        <v>3.204811173317168E-3</v>
      </c>
      <c r="F718" s="16">
        <f t="shared" si="23"/>
        <v>5.5815204599711787E-3</v>
      </c>
      <c r="G718" s="16"/>
    </row>
    <row r="719" spans="2:7" ht="15" thickBot="1" x14ac:dyDescent="0.4">
      <c r="B719" s="172">
        <v>2527.4499999999998</v>
      </c>
      <c r="D719" s="43">
        <v>17844.599999999999</v>
      </c>
      <c r="E719" s="16">
        <f t="shared" si="22"/>
        <v>2.7374977683440882E-3</v>
      </c>
      <c r="F719" s="16">
        <f t="shared" si="23"/>
        <v>1.0041118098131907E-3</v>
      </c>
      <c r="G719" s="16"/>
    </row>
    <row r="720" spans="2:7" ht="15" thickBot="1" x14ac:dyDescent="0.4">
      <c r="B720" s="172">
        <v>2520.5500000000002</v>
      </c>
      <c r="D720" s="43">
        <v>17826.7</v>
      </c>
      <c r="E720" s="16">
        <f t="shared" si="22"/>
        <v>8.4418572085860344E-3</v>
      </c>
      <c r="F720" s="16">
        <f t="shared" si="23"/>
        <v>1.5517565496772967E-2</v>
      </c>
      <c r="G720" s="16"/>
    </row>
    <row r="721" spans="2:7" ht="15" thickBot="1" x14ac:dyDescent="0.4">
      <c r="B721" s="172">
        <v>2499.4499999999998</v>
      </c>
      <c r="D721" s="43">
        <v>17554.3</v>
      </c>
      <c r="E721" s="16">
        <f t="shared" si="22"/>
        <v>1.5828491284310964E-3</v>
      </c>
      <c r="F721" s="16">
        <f t="shared" si="23"/>
        <v>2.4584195874080006E-3</v>
      </c>
      <c r="G721" s="16"/>
    </row>
    <row r="722" spans="2:7" ht="15" thickBot="1" x14ac:dyDescent="0.4">
      <c r="B722" s="172">
        <v>2495.5</v>
      </c>
      <c r="D722" s="43">
        <v>17511.25</v>
      </c>
      <c r="E722" s="16">
        <f t="shared" si="22"/>
        <v>3.9627461629754279E-3</v>
      </c>
      <c r="F722" s="16">
        <f t="shared" si="23"/>
        <v>2.6022283548421399E-3</v>
      </c>
      <c r="G722" s="16"/>
    </row>
    <row r="723" spans="2:7" ht="15" thickBot="1" x14ac:dyDescent="0.4">
      <c r="B723" s="172">
        <v>2485.65</v>
      </c>
      <c r="D723" s="43">
        <v>17465.8</v>
      </c>
      <c r="E723" s="16">
        <f t="shared" si="22"/>
        <v>1.9732928555311613E-2</v>
      </c>
      <c r="F723" s="16">
        <f t="shared" si="23"/>
        <v>4.2029127162543922E-3</v>
      </c>
      <c r="G723" s="16"/>
    </row>
    <row r="724" spans="2:7" ht="15" thickBot="1" x14ac:dyDescent="0.4">
      <c r="B724" s="172">
        <v>2437.5500000000002</v>
      </c>
      <c r="D724" s="43">
        <v>17392.7</v>
      </c>
      <c r="E724" s="16">
        <f t="shared" si="22"/>
        <v>7.6268033566202487E-3</v>
      </c>
      <c r="F724" s="16">
        <f t="shared" si="23"/>
        <v>5.128886757070017E-3</v>
      </c>
      <c r="G724" s="16"/>
    </row>
    <row r="725" spans="2:7" ht="15" thickBot="1" x14ac:dyDescent="0.4">
      <c r="B725" s="172">
        <v>2419.1</v>
      </c>
      <c r="D725" s="43">
        <v>17303.95</v>
      </c>
      <c r="E725" s="16">
        <f t="shared" si="22"/>
        <v>-4.9360371848135021E-3</v>
      </c>
      <c r="F725" s="16">
        <f t="shared" si="23"/>
        <v>-8.420769129385941E-3</v>
      </c>
      <c r="G725" s="16"/>
    </row>
    <row r="726" spans="2:7" ht="15" thickBot="1" x14ac:dyDescent="0.4">
      <c r="B726" s="172">
        <v>2431.1</v>
      </c>
      <c r="D726" s="43">
        <v>17450.900000000001</v>
      </c>
      <c r="E726" s="16">
        <f t="shared" si="22"/>
        <v>-1.3091927659488078E-2</v>
      </c>
      <c r="F726" s="16">
        <f t="shared" si="23"/>
        <v>7.4472199931878702E-3</v>
      </c>
      <c r="G726" s="16"/>
    </row>
    <row r="727" spans="2:7" ht="15" thickBot="1" x14ac:dyDescent="0.4">
      <c r="B727" s="172">
        <v>2463.35</v>
      </c>
      <c r="D727" s="43">
        <v>17321.900000000001</v>
      </c>
      <c r="E727" s="16">
        <f t="shared" si="22"/>
        <v>7.3124657228151868E-4</v>
      </c>
      <c r="F727" s="16">
        <f t="shared" si="23"/>
        <v>-1.548508470048604E-2</v>
      </c>
      <c r="G727" s="16"/>
    </row>
    <row r="728" spans="2:7" ht="15" thickBot="1" x14ac:dyDescent="0.4">
      <c r="B728" s="172">
        <v>2461.5500000000002</v>
      </c>
      <c r="D728" s="43">
        <v>17594.349999999999</v>
      </c>
      <c r="E728" s="16">
        <f t="shared" si="22"/>
        <v>-7.3194338024759054E-3</v>
      </c>
      <c r="F728" s="16">
        <f t="shared" si="23"/>
        <v>-6.6115422509168686E-3</v>
      </c>
      <c r="G728" s="16"/>
    </row>
    <row r="729" spans="2:7" ht="15" thickBot="1" x14ac:dyDescent="0.4">
      <c r="B729" s="172">
        <v>2479.6999999999998</v>
      </c>
      <c r="D729" s="43">
        <v>17711.45</v>
      </c>
      <c r="E729" s="16">
        <f t="shared" si="22"/>
        <v>6.6584612901254836E-4</v>
      </c>
      <c r="F729" s="16">
        <f t="shared" si="23"/>
        <v>-2.4191186410129628E-3</v>
      </c>
      <c r="G729" s="16"/>
    </row>
    <row r="730" spans="2:7" ht="15" thickBot="1" x14ac:dyDescent="0.4">
      <c r="B730" s="172">
        <v>2478.0500000000002</v>
      </c>
      <c r="D730" s="43">
        <v>17754.400000000001</v>
      </c>
      <c r="E730" s="16">
        <f t="shared" si="22"/>
        <v>1.4015058515426837E-2</v>
      </c>
      <c r="F730" s="16">
        <f t="shared" si="23"/>
        <v>9.3691726929550079E-3</v>
      </c>
      <c r="G730" s="16"/>
    </row>
    <row r="731" spans="2:7" ht="15" thickBot="1" x14ac:dyDescent="0.4">
      <c r="B731" s="172">
        <v>2443.8000000000002</v>
      </c>
      <c r="D731" s="43">
        <v>17589.599999999999</v>
      </c>
      <c r="E731" s="16">
        <f t="shared" si="22"/>
        <v>1.4342498873090026E-3</v>
      </c>
      <c r="F731" s="16">
        <f t="shared" si="23"/>
        <v>1.0147649156659444E-2</v>
      </c>
      <c r="G731" s="16"/>
    </row>
    <row r="732" spans="2:7" ht="15" thickBot="1" x14ac:dyDescent="0.4">
      <c r="B732" s="172">
        <v>2440.3000000000002</v>
      </c>
      <c r="D732" s="43">
        <v>17412.900000000001</v>
      </c>
      <c r="E732" s="16">
        <f t="shared" si="22"/>
        <v>2.230786954609254E-2</v>
      </c>
      <c r="F732" s="16">
        <f t="shared" si="23"/>
        <v>1.507493747923272E-2</v>
      </c>
      <c r="G732" s="16"/>
    </row>
    <row r="733" spans="2:7" ht="15" thickBot="1" x14ac:dyDescent="0.4">
      <c r="B733" s="172">
        <v>2387.0500000000002</v>
      </c>
      <c r="D733" s="43">
        <v>17154.3</v>
      </c>
      <c r="E733" s="16">
        <f t="shared" si="22"/>
        <v>5.7300554045800478E-3</v>
      </c>
      <c r="F733" s="16">
        <f t="shared" si="23"/>
        <v>6.5128232208551129E-3</v>
      </c>
      <c r="G733" s="16"/>
    </row>
    <row r="734" spans="2:7" ht="15" thickBot="1" x14ac:dyDescent="0.4">
      <c r="B734" s="172">
        <v>2373.4499999999998</v>
      </c>
      <c r="D734" s="43">
        <v>17043.3</v>
      </c>
      <c r="E734" s="16">
        <f t="shared" si="22"/>
        <v>-2.5215911239991895E-3</v>
      </c>
      <c r="F734" s="16">
        <f t="shared" si="23"/>
        <v>4.1921618651730164E-3</v>
      </c>
      <c r="G734" s="16"/>
    </row>
    <row r="735" spans="2:7" ht="15" thickBot="1" x14ac:dyDescent="0.4">
      <c r="B735" s="172">
        <v>2379.4499999999998</v>
      </c>
      <c r="D735" s="43">
        <v>16972.150000000001</v>
      </c>
      <c r="E735" s="16">
        <f t="shared" si="22"/>
        <v>3.5850608405914031E-3</v>
      </c>
      <c r="F735" s="16">
        <f t="shared" si="23"/>
        <v>-7.9184721175562522E-4</v>
      </c>
      <c r="G735" s="16"/>
    </row>
    <row r="736" spans="2:7" ht="15" thickBot="1" x14ac:dyDescent="0.4">
      <c r="B736" s="172">
        <v>2370.9499999999998</v>
      </c>
      <c r="D736" s="43">
        <v>16985.599999999999</v>
      </c>
      <c r="E736" s="16">
        <f t="shared" si="22"/>
        <v>6.7087022058041068E-3</v>
      </c>
      <c r="F736" s="16">
        <f t="shared" si="23"/>
        <v>-6.6929628860734613E-3</v>
      </c>
      <c r="G736" s="16"/>
    </row>
    <row r="737" spans="2:7" ht="15" thickBot="1" x14ac:dyDescent="0.4">
      <c r="B737" s="172">
        <v>2355.15</v>
      </c>
      <c r="D737" s="43">
        <v>17100.05</v>
      </c>
      <c r="E737" s="16">
        <f t="shared" si="22"/>
        <v>6.754012866821979E-3</v>
      </c>
      <c r="F737" s="16">
        <f t="shared" si="23"/>
        <v>6.5721315721314344E-3</v>
      </c>
      <c r="G737" s="16"/>
    </row>
    <row r="738" spans="2:7" ht="15" thickBot="1" x14ac:dyDescent="0.4">
      <c r="B738" s="172">
        <v>2339.35</v>
      </c>
      <c r="D738" s="43">
        <v>16988.400000000001</v>
      </c>
      <c r="E738" s="16">
        <f t="shared" si="22"/>
        <v>-4.1293288776315107E-3</v>
      </c>
      <c r="F738" s="16">
        <f t="shared" si="23"/>
        <v>-6.9618588338447029E-3</v>
      </c>
      <c r="G738" s="16"/>
    </row>
    <row r="739" spans="2:7" ht="15" thickBot="1" x14ac:dyDescent="0.4">
      <c r="B739" s="172">
        <v>2349.0500000000002</v>
      </c>
      <c r="D739" s="43">
        <v>17107.5</v>
      </c>
      <c r="E739" s="16">
        <f t="shared" si="22"/>
        <v>-1.763556008838818E-3</v>
      </c>
      <c r="F739" s="16">
        <f t="shared" si="23"/>
        <v>-2.5886344953037765E-3</v>
      </c>
      <c r="G739" s="16"/>
    </row>
    <row r="740" spans="2:7" ht="15" thickBot="1" x14ac:dyDescent="0.4">
      <c r="B740" s="172">
        <v>2353.1999999999998</v>
      </c>
      <c r="D740" s="43">
        <v>17151.900000000001</v>
      </c>
      <c r="E740" s="16">
        <f t="shared" si="22"/>
        <v>-3.9365079365080158E-3</v>
      </c>
      <c r="F740" s="16">
        <f t="shared" si="23"/>
        <v>4.3918978268888687E-3</v>
      </c>
      <c r="G740" s="16"/>
    </row>
    <row r="741" spans="2:7" ht="15" thickBot="1" x14ac:dyDescent="0.4">
      <c r="B741" s="172">
        <v>2362.5</v>
      </c>
      <c r="D741" s="43">
        <v>17076.900000000001</v>
      </c>
      <c r="E741" s="16">
        <f t="shared" si="22"/>
        <v>2.1246244623597921E-2</v>
      </c>
      <c r="F741" s="16">
        <f t="shared" si="23"/>
        <v>7.781033399134385E-3</v>
      </c>
      <c r="G741" s="16"/>
    </row>
    <row r="742" spans="2:7" ht="15" thickBot="1" x14ac:dyDescent="0.4">
      <c r="B742" s="172">
        <v>2313.35</v>
      </c>
      <c r="D742" s="43">
        <v>16945.05</v>
      </c>
      <c r="E742" s="16">
        <f t="shared" si="22"/>
        <v>2.0575240405440454E-3</v>
      </c>
      <c r="F742" s="16">
        <f t="shared" si="23"/>
        <v>-2.3931895653402924E-3</v>
      </c>
      <c r="G742" s="16"/>
    </row>
    <row r="743" spans="2:7" ht="15" thickBot="1" x14ac:dyDescent="0.4">
      <c r="B743" s="172">
        <v>2308.6</v>
      </c>
      <c r="D743" s="43">
        <v>16985.7</v>
      </c>
      <c r="E743" s="16">
        <f t="shared" si="22"/>
        <v>2.6272505001111224E-2</v>
      </c>
      <c r="F743" s="16">
        <f t="shared" si="23"/>
        <v>2.0056985435088492E-3</v>
      </c>
      <c r="G743" s="16"/>
    </row>
    <row r="744" spans="2:7" ht="15" thickBot="1" x14ac:dyDescent="0.4">
      <c r="B744" s="172">
        <v>2249.5</v>
      </c>
      <c r="D744" s="43">
        <v>16951.7</v>
      </c>
      <c r="E744" s="16">
        <f t="shared" si="22"/>
        <v>-2.3718073910118709E-2</v>
      </c>
      <c r="F744" s="16">
        <f t="shared" si="23"/>
        <v>-7.5523836845093895E-3</v>
      </c>
      <c r="G744" s="16"/>
    </row>
    <row r="745" spans="2:7" ht="15" thickBot="1" x14ac:dyDescent="0.4">
      <c r="B745" s="172">
        <v>2304.15</v>
      </c>
      <c r="D745" s="43">
        <v>17080.7</v>
      </c>
      <c r="E745" s="16">
        <f t="shared" si="22"/>
        <v>-1.8403731867850937E-2</v>
      </c>
      <c r="F745" s="16">
        <f t="shared" si="23"/>
        <v>-1.6074540243955049E-2</v>
      </c>
      <c r="G745" s="16"/>
    </row>
    <row r="746" spans="2:7" ht="15" thickBot="1" x14ac:dyDescent="0.4">
      <c r="B746" s="172">
        <v>2347.35</v>
      </c>
      <c r="D746" s="43">
        <v>17359.75</v>
      </c>
      <c r="E746" s="16">
        <f t="shared" si="22"/>
        <v>-3.4449426185677257E-2</v>
      </c>
      <c r="F746" s="16">
        <f t="shared" si="23"/>
        <v>-2.2013961334746979E-3</v>
      </c>
      <c r="G746" s="16"/>
    </row>
    <row r="747" spans="2:7" ht="15" thickBot="1" x14ac:dyDescent="0.4">
      <c r="B747" s="172">
        <v>2431.1</v>
      </c>
      <c r="D747" s="43">
        <v>17398.05</v>
      </c>
      <c r="E747" s="16">
        <f t="shared" si="22"/>
        <v>-4.5226543869747449E-4</v>
      </c>
      <c r="F747" s="16">
        <f t="shared" si="23"/>
        <v>-9.0561911027193798E-3</v>
      </c>
      <c r="G747" s="16"/>
    </row>
    <row r="748" spans="2:7" ht="15" thickBot="1" x14ac:dyDescent="0.4">
      <c r="B748" s="172">
        <v>2432.1999999999998</v>
      </c>
      <c r="D748" s="43">
        <v>17557.05</v>
      </c>
      <c r="E748" s="16">
        <f t="shared" si="22"/>
        <v>2.3697170763872233E-3</v>
      </c>
      <c r="F748" s="16">
        <f t="shared" si="23"/>
        <v>-2.3921609850476866E-3</v>
      </c>
      <c r="G748" s="16"/>
    </row>
    <row r="749" spans="2:7" ht="15" thickBot="1" x14ac:dyDescent="0.4">
      <c r="B749" s="172">
        <v>2426.4499999999998</v>
      </c>
      <c r="D749" s="43">
        <v>17599.150000000001</v>
      </c>
      <c r="E749" s="16">
        <f t="shared" si="22"/>
        <v>-1.3898766586064815E-2</v>
      </c>
      <c r="F749" s="16">
        <f t="shared" si="23"/>
        <v>-1.4128421106384126E-3</v>
      </c>
      <c r="G749" s="16"/>
    </row>
    <row r="750" spans="2:7" ht="15" thickBot="1" x14ac:dyDescent="0.4">
      <c r="B750" s="172">
        <v>2460.65</v>
      </c>
      <c r="D750" s="43">
        <v>17624.05</v>
      </c>
      <c r="E750" s="16">
        <f t="shared" si="22"/>
        <v>-3.7249225661476482E-3</v>
      </c>
      <c r="F750" s="16">
        <f t="shared" si="23"/>
        <v>-5.5438628169030002E-3</v>
      </c>
      <c r="G750" s="16"/>
    </row>
    <row r="751" spans="2:7" ht="15" thickBot="1" x14ac:dyDescent="0.4">
      <c r="B751" s="172">
        <v>2469.85</v>
      </c>
      <c r="D751" s="43">
        <v>17722.3</v>
      </c>
      <c r="E751" s="16">
        <f t="shared" si="22"/>
        <v>-3.0073063415816392E-3</v>
      </c>
      <c r="F751" s="16">
        <f t="shared" si="23"/>
        <v>-5.0582740113629399E-3</v>
      </c>
      <c r="G751" s="16"/>
    </row>
    <row r="752" spans="2:7" ht="15" thickBot="1" x14ac:dyDescent="0.4">
      <c r="B752" s="172">
        <v>2477.3000000000002</v>
      </c>
      <c r="D752" s="43">
        <v>17812.400000000001</v>
      </c>
      <c r="E752" s="16">
        <f t="shared" si="22"/>
        <v>1.2361823420036444E-2</v>
      </c>
      <c r="F752" s="16">
        <f t="shared" si="23"/>
        <v>-8.7502804577066495E-4</v>
      </c>
      <c r="G752" s="16"/>
    </row>
    <row r="753" spans="2:7" ht="15" thickBot="1" x14ac:dyDescent="0.4">
      <c r="B753" s="172">
        <v>2447.0500000000002</v>
      </c>
      <c r="D753" s="43">
        <v>17828</v>
      </c>
      <c r="E753" s="16">
        <f t="shared" si="22"/>
        <v>-7.6643889778785779E-3</v>
      </c>
      <c r="F753" s="16">
        <f t="shared" si="23"/>
        <v>6.8419848815572948E-3</v>
      </c>
      <c r="G753" s="16"/>
    </row>
    <row r="754" spans="2:7" ht="15" thickBot="1" x14ac:dyDescent="0.4">
      <c r="B754" s="172">
        <v>2465.9499999999998</v>
      </c>
      <c r="D754" s="43">
        <v>17706.849999999999</v>
      </c>
      <c r="E754" s="16">
        <f t="shared" si="22"/>
        <v>1.0759519613067203E-2</v>
      </c>
      <c r="F754" s="16">
        <f t="shared" si="23"/>
        <v>2.6443716502972947E-3</v>
      </c>
      <c r="G754" s="16"/>
    </row>
    <row r="755" spans="2:7" ht="15" thickBot="1" x14ac:dyDescent="0.4">
      <c r="B755" s="172">
        <v>2439.6999999999998</v>
      </c>
      <c r="D755" s="43">
        <v>17660.150000000001</v>
      </c>
      <c r="E755" s="16">
        <f t="shared" si="22"/>
        <v>-2.5552443835727967E-3</v>
      </c>
      <c r="F755" s="16">
        <f t="shared" si="23"/>
        <v>2.3497694217808895E-3</v>
      </c>
      <c r="G755" s="16"/>
    </row>
    <row r="756" spans="2:7" ht="15" thickBot="1" x14ac:dyDescent="0.4">
      <c r="B756" s="172">
        <v>2445.9499999999998</v>
      </c>
      <c r="D756" s="43">
        <v>17618.75</v>
      </c>
      <c r="E756" s="16">
        <f t="shared" si="22"/>
        <v>-1.061852933368912E-3</v>
      </c>
      <c r="F756" s="16">
        <f t="shared" si="23"/>
        <v>-3.2341434768179411E-4</v>
      </c>
      <c r="G756" s="16"/>
    </row>
    <row r="757" spans="2:7" ht="15" thickBot="1" x14ac:dyDescent="0.4">
      <c r="B757" s="172">
        <v>2448.5500000000002</v>
      </c>
      <c r="D757" s="43">
        <v>17624.45</v>
      </c>
      <c r="E757" s="16">
        <f t="shared" si="22"/>
        <v>-4.3914042328256908E-3</v>
      </c>
      <c r="F757" s="16">
        <f t="shared" si="23"/>
        <v>2.2696258805465774E-5</v>
      </c>
      <c r="G757" s="16"/>
    </row>
    <row r="758" spans="2:7" ht="15" thickBot="1" x14ac:dyDescent="0.4">
      <c r="B758" s="172">
        <v>2459.35</v>
      </c>
      <c r="D758" s="43">
        <v>17624.05</v>
      </c>
      <c r="E758" s="16">
        <f t="shared" si="22"/>
        <v>-1.6672997341116824E-2</v>
      </c>
      <c r="F758" s="16">
        <f t="shared" si="23"/>
        <v>-6.7264447625596802E-3</v>
      </c>
      <c r="G758" s="16"/>
    </row>
    <row r="759" spans="2:7" ht="15" thickBot="1" x14ac:dyDescent="0.4">
      <c r="B759" s="172">
        <v>2501.0500000000002</v>
      </c>
      <c r="D759" s="43">
        <v>17743.400000000001</v>
      </c>
      <c r="E759" s="16">
        <f t="shared" si="22"/>
        <v>1.321189070163209E-3</v>
      </c>
      <c r="F759" s="16">
        <f t="shared" si="23"/>
        <v>-1.4547603303458612E-3</v>
      </c>
      <c r="G759" s="16"/>
    </row>
    <row r="760" spans="2:7" ht="15" thickBot="1" x14ac:dyDescent="0.4">
      <c r="B760" s="172">
        <v>2497.75</v>
      </c>
      <c r="D760" s="43">
        <v>17769.25</v>
      </c>
      <c r="E760" s="16">
        <f t="shared" si="22"/>
        <v>-2.9539149352334482E-3</v>
      </c>
      <c r="F760" s="16">
        <f t="shared" si="23"/>
        <v>-2.4896708133110845E-3</v>
      </c>
      <c r="G760" s="16"/>
    </row>
    <row r="761" spans="2:7" ht="15" thickBot="1" x14ac:dyDescent="0.4">
      <c r="B761" s="172">
        <v>2505.15</v>
      </c>
      <c r="D761" s="43">
        <v>17813.599999999999</v>
      </c>
      <c r="E761" s="16">
        <f t="shared" si="22"/>
        <v>-1.3951727024494875E-3</v>
      </c>
      <c r="F761" s="16">
        <f t="shared" si="23"/>
        <v>-5.6628365536239844E-3</v>
      </c>
      <c r="G761" s="16"/>
    </row>
    <row r="762" spans="2:7" ht="15" thickBot="1" x14ac:dyDescent="0.4">
      <c r="B762" s="172">
        <v>2508.65</v>
      </c>
      <c r="D762" s="43">
        <v>17915.05</v>
      </c>
      <c r="E762" s="16">
        <f t="shared" si="22"/>
        <v>-1.9522395059798248E-2</v>
      </c>
      <c r="F762" s="16">
        <f t="shared" si="23"/>
        <v>-8.3005812344312258E-3</v>
      </c>
      <c r="G762" s="16"/>
    </row>
    <row r="763" spans="2:7" ht="15" thickBot="1" x14ac:dyDescent="0.4">
      <c r="B763" s="172">
        <v>2558.6</v>
      </c>
      <c r="D763" s="43">
        <v>18065</v>
      </c>
      <c r="E763" s="16">
        <f t="shared" si="22"/>
        <v>2.5121198765976072E-2</v>
      </c>
      <c r="F763" s="16">
        <f t="shared" si="23"/>
        <v>-4.5543086845956093E-3</v>
      </c>
      <c r="G763" s="16"/>
    </row>
    <row r="764" spans="2:7" ht="15" thickBot="1" x14ac:dyDescent="0.4">
      <c r="B764" s="172">
        <v>2495.9</v>
      </c>
      <c r="D764" s="43">
        <v>18147.650000000001</v>
      </c>
      <c r="E764" s="16">
        <f t="shared" si="22"/>
        <v>-2.697141030507666E-3</v>
      </c>
      <c r="F764" s="16">
        <f t="shared" si="23"/>
        <v>3.1951619278216548E-3</v>
      </c>
      <c r="G764" s="16"/>
    </row>
    <row r="765" spans="2:7" ht="15" thickBot="1" x14ac:dyDescent="0.4">
      <c r="B765" s="172">
        <v>2502.65</v>
      </c>
      <c r="D765" s="43">
        <v>18089.849999999999</v>
      </c>
      <c r="E765" s="16">
        <f t="shared" si="22"/>
        <v>-4.7126665341021834E-3</v>
      </c>
      <c r="F765" s="16">
        <f t="shared" si="23"/>
        <v>-9.0902617250409046E-3</v>
      </c>
      <c r="G765" s="16"/>
    </row>
    <row r="766" spans="2:7" ht="15" thickBot="1" x14ac:dyDescent="0.4">
      <c r="B766" s="172">
        <v>2514.5</v>
      </c>
      <c r="D766" s="43">
        <v>18255.8</v>
      </c>
      <c r="E766" s="16">
        <f t="shared" si="22"/>
        <v>-1.2857002649916627E-2</v>
      </c>
      <c r="F766" s="16">
        <f t="shared" si="23"/>
        <v>1.0338148209640741E-2</v>
      </c>
      <c r="G766" s="16"/>
    </row>
    <row r="767" spans="2:7" ht="15" thickBot="1" x14ac:dyDescent="0.4">
      <c r="B767" s="172">
        <v>2547.25</v>
      </c>
      <c r="D767" s="43">
        <v>18069</v>
      </c>
      <c r="E767" s="16">
        <f t="shared" si="22"/>
        <v>-1.1295049197508122E-2</v>
      </c>
      <c r="F767" s="16">
        <f t="shared" si="23"/>
        <v>-1.0698407831628787E-2</v>
      </c>
      <c r="G767" s="16"/>
    </row>
    <row r="768" spans="2:7" ht="15" thickBot="1" x14ac:dyDescent="0.4">
      <c r="B768" s="172">
        <v>2576.35</v>
      </c>
      <c r="D768" s="43">
        <v>18264.400000000001</v>
      </c>
      <c r="E768" s="16">
        <f t="shared" si="22"/>
        <v>-5.8652157974957708E-3</v>
      </c>
      <c r="F768" s="16">
        <f t="shared" si="23"/>
        <v>-8.4857343855548883E-5</v>
      </c>
      <c r="G768" s="16"/>
    </row>
    <row r="769" spans="2:7" ht="15" thickBot="1" x14ac:dyDescent="0.4">
      <c r="B769" s="172">
        <v>2591.5500000000002</v>
      </c>
      <c r="D769" s="43">
        <v>18265.95</v>
      </c>
      <c r="E769" s="16">
        <f t="shared" si="22"/>
        <v>2.1267956922719211E-3</v>
      </c>
      <c r="F769" s="16">
        <f t="shared" si="23"/>
        <v>-2.6835780312418622E-3</v>
      </c>
      <c r="G769" s="16"/>
    </row>
    <row r="770" spans="2:7" ht="15" thickBot="1" x14ac:dyDescent="0.4">
      <c r="B770" s="172">
        <v>2586.0500000000002</v>
      </c>
      <c r="D770" s="43">
        <v>18315.099999999999</v>
      </c>
      <c r="E770" s="16">
        <f t="shared" si="22"/>
        <v>2.3206791854435416E-4</v>
      </c>
      <c r="F770" s="16">
        <f t="shared" si="23"/>
        <v>9.8923320762955846E-4</v>
      </c>
      <c r="G770" s="16"/>
    </row>
    <row r="771" spans="2:7" ht="15" thickBot="1" x14ac:dyDescent="0.4">
      <c r="B771" s="172">
        <v>2585.4499999999998</v>
      </c>
      <c r="D771" s="43">
        <v>18297</v>
      </c>
      <c r="E771" s="16">
        <f t="shared" si="22"/>
        <v>-7.8475766529798596E-3</v>
      </c>
      <c r="F771" s="16">
        <f t="shared" si="23"/>
        <v>-9.7189158494770389E-4</v>
      </c>
      <c r="G771" s="16"/>
    </row>
    <row r="772" spans="2:7" ht="15" thickBot="1" x14ac:dyDescent="0.4">
      <c r="B772" s="172">
        <v>2605.9</v>
      </c>
      <c r="D772" s="43">
        <v>18314.8</v>
      </c>
      <c r="E772" s="16">
        <f t="shared" ref="E772:E835" si="24">B772/B773-1</f>
        <v>-3.194769493666183E-2</v>
      </c>
      <c r="F772" s="16">
        <f t="shared" ref="F772:F835" si="25">D772/D773-1</f>
        <v>-4.5682202963771568E-3</v>
      </c>
      <c r="G772" s="16"/>
    </row>
    <row r="773" spans="2:7" ht="15" thickBot="1" x14ac:dyDescent="0.4">
      <c r="B773" s="172">
        <v>2691.9</v>
      </c>
      <c r="D773" s="43">
        <v>18398.849999999999</v>
      </c>
      <c r="E773" s="16">
        <f t="shared" si="24"/>
        <v>2.1965748324646039E-3</v>
      </c>
      <c r="F773" s="16">
        <f t="shared" si="25"/>
        <v>6.1438766303010262E-3</v>
      </c>
      <c r="G773" s="16"/>
    </row>
    <row r="774" spans="2:7" ht="15" thickBot="1" x14ac:dyDescent="0.4">
      <c r="B774" s="172">
        <v>2686</v>
      </c>
      <c r="D774" s="43">
        <v>18286.5</v>
      </c>
      <c r="E774" s="16">
        <f t="shared" si="24"/>
        <v>-1.3569841532161786E-2</v>
      </c>
      <c r="F774" s="16">
        <f t="shared" si="25"/>
        <v>5.7612716047685808E-3</v>
      </c>
      <c r="G774" s="16"/>
    </row>
    <row r="775" spans="2:7" ht="15" thickBot="1" x14ac:dyDescent="0.4">
      <c r="B775" s="172">
        <v>2722.95</v>
      </c>
      <c r="D775" s="43">
        <v>18181.75</v>
      </c>
      <c r="E775" s="16">
        <f t="shared" si="24"/>
        <v>-4.4604500667240199E-3</v>
      </c>
      <c r="F775" s="16">
        <f t="shared" si="25"/>
        <v>2.8571507367642912E-3</v>
      </c>
      <c r="G775" s="16"/>
    </row>
    <row r="776" spans="2:7" ht="15" thickBot="1" x14ac:dyDescent="0.4">
      <c r="B776" s="172">
        <v>2735.15</v>
      </c>
      <c r="D776" s="43">
        <v>18129.95</v>
      </c>
      <c r="E776" s="16">
        <f t="shared" si="24"/>
        <v>8.1643936601547562E-3</v>
      </c>
      <c r="F776" s="16">
        <f t="shared" si="25"/>
        <v>-4.0349605018843437E-3</v>
      </c>
      <c r="G776" s="16"/>
    </row>
    <row r="777" spans="2:7" ht="15" thickBot="1" x14ac:dyDescent="0.4">
      <c r="B777" s="172">
        <v>2713</v>
      </c>
      <c r="D777" s="43">
        <v>18203.400000000001</v>
      </c>
      <c r="E777" s="16">
        <f t="shared" si="24"/>
        <v>7.74473933473252E-3</v>
      </c>
      <c r="F777" s="16">
        <f t="shared" si="25"/>
        <v>-6.0608046127637039E-3</v>
      </c>
      <c r="G777" s="16"/>
    </row>
    <row r="778" spans="2:7" ht="15" thickBot="1" x14ac:dyDescent="0.4">
      <c r="B778" s="172">
        <v>2692.15</v>
      </c>
      <c r="D778" s="43">
        <v>18314.400000000001</v>
      </c>
      <c r="E778" s="16">
        <f t="shared" si="24"/>
        <v>-6.7516464055783487E-3</v>
      </c>
      <c r="F778" s="16">
        <f t="shared" si="25"/>
        <v>-1.8312622629168551E-3</v>
      </c>
      <c r="G778" s="16"/>
    </row>
    <row r="779" spans="2:7" ht="15" thickBot="1" x14ac:dyDescent="0.4">
      <c r="B779" s="172">
        <v>2710.45</v>
      </c>
      <c r="D779" s="43">
        <v>18348</v>
      </c>
      <c r="E779" s="16">
        <f t="shared" si="24"/>
        <v>-1.031511300982213E-2</v>
      </c>
      <c r="F779" s="16">
        <f t="shared" si="25"/>
        <v>3.4234963413433128E-3</v>
      </c>
      <c r="G779" s="16"/>
    </row>
    <row r="780" spans="2:7" ht="15" thickBot="1" x14ac:dyDescent="0.4">
      <c r="B780" s="172">
        <v>2738.7</v>
      </c>
      <c r="D780" s="43">
        <v>18285.400000000001</v>
      </c>
      <c r="E780" s="16">
        <f t="shared" si="24"/>
        <v>2.1589578454330738E-3</v>
      </c>
      <c r="F780" s="16">
        <f t="shared" si="25"/>
        <v>-1.9512967253693114E-3</v>
      </c>
      <c r="G780" s="16"/>
    </row>
    <row r="781" spans="2:7" ht="15" thickBot="1" x14ac:dyDescent="0.4">
      <c r="B781" s="172">
        <v>2732.8</v>
      </c>
      <c r="D781" s="43">
        <v>18321.150000000001</v>
      </c>
      <c r="E781" s="16">
        <f t="shared" si="24"/>
        <v>-4.4988434147495981E-3</v>
      </c>
      <c r="F781" s="16">
        <f t="shared" si="25"/>
        <v>-9.6327708811388968E-3</v>
      </c>
      <c r="G781" s="16"/>
    </row>
    <row r="782" spans="2:7" ht="15" thickBot="1" x14ac:dyDescent="0.4">
      <c r="B782" s="172">
        <v>2745.15</v>
      </c>
      <c r="D782" s="43">
        <v>18499.349999999999</v>
      </c>
      <c r="E782" s="16">
        <f t="shared" si="24"/>
        <v>-1.1433613021714861E-2</v>
      </c>
      <c r="F782" s="16">
        <f t="shared" si="25"/>
        <v>-5.3390971925383335E-3</v>
      </c>
      <c r="G782" s="16"/>
    </row>
    <row r="783" spans="2:7" ht="15" thickBot="1" x14ac:dyDescent="0.4">
      <c r="B783" s="172">
        <v>2776.9</v>
      </c>
      <c r="D783" s="43">
        <v>18598.650000000001</v>
      </c>
      <c r="E783" s="16">
        <f t="shared" si="24"/>
        <v>-8.0960005757158005E-4</v>
      </c>
      <c r="F783" s="16">
        <f t="shared" si="25"/>
        <v>-1.889035277196971E-3</v>
      </c>
      <c r="G783" s="16"/>
    </row>
    <row r="784" spans="2:7" ht="15" thickBot="1" x14ac:dyDescent="0.4">
      <c r="B784" s="172">
        <v>2779.15</v>
      </c>
      <c r="D784" s="43">
        <v>18633.849999999999</v>
      </c>
      <c r="E784" s="16">
        <f t="shared" si="24"/>
        <v>6.974890394579436E-3</v>
      </c>
      <c r="F784" s="16">
        <f t="shared" si="25"/>
        <v>5.3656983770715705E-3</v>
      </c>
      <c r="G784" s="16"/>
    </row>
    <row r="785" spans="2:7" ht="15" thickBot="1" x14ac:dyDescent="0.4">
      <c r="B785" s="172">
        <v>2759.9</v>
      </c>
      <c r="D785" s="43">
        <v>18534.400000000001</v>
      </c>
      <c r="E785" s="16">
        <f t="shared" si="24"/>
        <v>-1.44622196829024E-2</v>
      </c>
      <c r="F785" s="16">
        <f t="shared" si="25"/>
        <v>2.5232924504063892E-3</v>
      </c>
      <c r="G785" s="16"/>
    </row>
    <row r="786" spans="2:7" ht="15" thickBot="1" x14ac:dyDescent="0.4">
      <c r="B786" s="172">
        <v>2800.4</v>
      </c>
      <c r="D786" s="43">
        <v>18487.75</v>
      </c>
      <c r="E786" s="16">
        <f t="shared" si="24"/>
        <v>-3.1891172454323935E-2</v>
      </c>
      <c r="F786" s="16">
        <f t="shared" si="25"/>
        <v>-2.5007958303882027E-3</v>
      </c>
      <c r="G786" s="16"/>
    </row>
    <row r="787" spans="2:7" ht="15" thickBot="1" x14ac:dyDescent="0.4">
      <c r="B787" s="172">
        <v>2892.65</v>
      </c>
      <c r="D787" s="43">
        <v>18534.099999999999</v>
      </c>
      <c r="E787" s="16">
        <f t="shared" si="24"/>
        <v>7.6813209781927405E-3</v>
      </c>
      <c r="F787" s="16">
        <f t="shared" si="25"/>
        <v>-3.2134280958489025E-3</v>
      </c>
      <c r="G787" s="16"/>
    </row>
    <row r="788" spans="2:7" ht="15" thickBot="1" x14ac:dyDescent="0.4">
      <c r="B788" s="172">
        <v>2870.6</v>
      </c>
      <c r="D788" s="43">
        <v>18593.849999999999</v>
      </c>
      <c r="E788" s="16">
        <f t="shared" si="24"/>
        <v>-1.1773616083723626E-2</v>
      </c>
      <c r="F788" s="16">
        <f t="shared" si="25"/>
        <v>-2.7689660734453447E-4</v>
      </c>
      <c r="G788" s="16"/>
    </row>
    <row r="789" spans="2:7" ht="15" thickBot="1" x14ac:dyDescent="0.4">
      <c r="B789" s="172">
        <v>2904.8</v>
      </c>
      <c r="D789" s="43">
        <v>18599</v>
      </c>
      <c r="E789" s="16">
        <f t="shared" si="24"/>
        <v>-1.7985125084516551E-2</v>
      </c>
      <c r="F789" s="16">
        <f t="shared" si="25"/>
        <v>-6.8032296650718527E-3</v>
      </c>
      <c r="G789" s="16"/>
    </row>
    <row r="790" spans="2:7" ht="15" thickBot="1" x14ac:dyDescent="0.4">
      <c r="B790" s="172">
        <v>2958</v>
      </c>
      <c r="D790" s="43">
        <v>18726.400000000001</v>
      </c>
      <c r="E790" s="16">
        <f t="shared" si="24"/>
        <v>-2.2935779816514179E-3</v>
      </c>
      <c r="F790" s="16">
        <f t="shared" si="25"/>
        <v>4.9290162628021772E-3</v>
      </c>
      <c r="G790" s="16"/>
    </row>
    <row r="791" spans="2:7" ht="15" thickBot="1" x14ac:dyDescent="0.4">
      <c r="B791" s="172">
        <v>2964.8</v>
      </c>
      <c r="D791" s="43">
        <v>18634.55</v>
      </c>
      <c r="E791" s="16">
        <f t="shared" si="24"/>
        <v>2.259166005587554E-2</v>
      </c>
      <c r="F791" s="16">
        <f t="shared" si="25"/>
        <v>3.8328107997456229E-3</v>
      </c>
      <c r="G791" s="16"/>
    </row>
    <row r="792" spans="2:7" ht="15" thickBot="1" x14ac:dyDescent="0.4">
      <c r="B792" s="172">
        <v>2899.3</v>
      </c>
      <c r="D792" s="43">
        <v>18563.400000000001</v>
      </c>
      <c r="E792" s="16">
        <f t="shared" si="24"/>
        <v>-1.0612885612885536E-2</v>
      </c>
      <c r="F792" s="16">
        <f t="shared" si="25"/>
        <v>-2.0482219175872451E-3</v>
      </c>
      <c r="G792" s="16"/>
    </row>
    <row r="793" spans="2:7" ht="15" thickBot="1" x14ac:dyDescent="0.4">
      <c r="B793" s="172">
        <v>2930.4</v>
      </c>
      <c r="D793" s="43">
        <v>18601.5</v>
      </c>
      <c r="E793" s="16">
        <f t="shared" si="24"/>
        <v>-7.4683737235177183E-3</v>
      </c>
      <c r="F793" s="16">
        <f t="shared" si="25"/>
        <v>-6.125725643361557E-3</v>
      </c>
      <c r="G793" s="16"/>
    </row>
    <row r="794" spans="2:7" ht="15" thickBot="1" x14ac:dyDescent="0.4">
      <c r="B794" s="172">
        <v>2952.45</v>
      </c>
      <c r="D794" s="43">
        <v>18716.150000000001</v>
      </c>
      <c r="E794" s="16">
        <f t="shared" si="24"/>
        <v>7.1121571837904352E-3</v>
      </c>
      <c r="F794" s="16">
        <f t="shared" si="25"/>
        <v>-2.1193331165126894E-3</v>
      </c>
      <c r="G794" s="16"/>
    </row>
    <row r="795" spans="2:7" ht="15" thickBot="1" x14ac:dyDescent="0.4">
      <c r="B795" s="172">
        <v>2931.6</v>
      </c>
      <c r="D795" s="43">
        <v>18755.900000000001</v>
      </c>
      <c r="E795" s="16">
        <f t="shared" si="24"/>
        <v>3.114612827772989E-2</v>
      </c>
      <c r="F795" s="16">
        <f t="shared" si="25"/>
        <v>3.6279771619374124E-3</v>
      </c>
      <c r="G795" s="16"/>
    </row>
    <row r="796" spans="2:7" ht="15" thickBot="1" x14ac:dyDescent="0.4">
      <c r="B796" s="172">
        <v>2843.05</v>
      </c>
      <c r="D796" s="43">
        <v>18688.099999999999</v>
      </c>
      <c r="E796" s="16">
        <f t="shared" si="24"/>
        <v>3.8841122155328645E-3</v>
      </c>
      <c r="F796" s="16">
        <f t="shared" si="25"/>
        <v>-7.3249760968873145E-3</v>
      </c>
      <c r="G796" s="16"/>
    </row>
    <row r="797" spans="2:7" ht="15" thickBot="1" x14ac:dyDescent="0.4">
      <c r="B797" s="172">
        <v>2832.05</v>
      </c>
      <c r="D797" s="43">
        <v>18826</v>
      </c>
      <c r="E797" s="16">
        <f t="shared" si="24"/>
        <v>1.7771149284841581E-2</v>
      </c>
      <c r="F797" s="16">
        <f t="shared" si="25"/>
        <v>3.7615733026932219E-3</v>
      </c>
      <c r="G797" s="16"/>
    </row>
    <row r="798" spans="2:7" ht="15" thickBot="1" x14ac:dyDescent="0.4">
      <c r="B798" s="172">
        <v>2782.6</v>
      </c>
      <c r="D798" s="43">
        <v>18755.45</v>
      </c>
      <c r="E798" s="16">
        <f t="shared" si="24"/>
        <v>-6.4626700467740328E-3</v>
      </c>
      <c r="F798" s="16">
        <f t="shared" si="25"/>
        <v>-3.2550872363379391E-3</v>
      </c>
      <c r="G798" s="16"/>
    </row>
    <row r="799" spans="2:7" ht="15" thickBot="1" x14ac:dyDescent="0.4">
      <c r="B799" s="172">
        <v>2800.7</v>
      </c>
      <c r="D799" s="43">
        <v>18816.7</v>
      </c>
      <c r="E799" s="16">
        <f t="shared" si="24"/>
        <v>-8.0926493244320996E-3</v>
      </c>
      <c r="F799" s="16">
        <f t="shared" si="25"/>
        <v>-2.129199733783671E-3</v>
      </c>
      <c r="G799" s="16"/>
    </row>
    <row r="800" spans="2:7" ht="15" thickBot="1" x14ac:dyDescent="0.4">
      <c r="B800" s="172">
        <v>2823.55</v>
      </c>
      <c r="D800" s="43">
        <v>18856.849999999999</v>
      </c>
      <c r="E800" s="16">
        <f t="shared" si="24"/>
        <v>-5.3096405373354028E-4</v>
      </c>
      <c r="F800" s="16">
        <f t="shared" si="25"/>
        <v>4.5601651461675274E-3</v>
      </c>
      <c r="G800" s="16"/>
    </row>
    <row r="801" spans="2:7" ht="15" thickBot="1" x14ac:dyDescent="0.4">
      <c r="B801" s="172">
        <v>2825.05</v>
      </c>
      <c r="D801" s="43">
        <v>18771.25</v>
      </c>
      <c r="E801" s="16">
        <f t="shared" si="24"/>
        <v>1.7522691254862499E-2</v>
      </c>
      <c r="F801" s="16">
        <f t="shared" si="25"/>
        <v>5.6655326672203632E-3</v>
      </c>
      <c r="G801" s="16"/>
    </row>
    <row r="802" spans="2:7" ht="15" thickBot="1" x14ac:dyDescent="0.4">
      <c r="B802" s="172">
        <v>2776.4</v>
      </c>
      <c r="D802" s="43">
        <v>18665.5</v>
      </c>
      <c r="E802" s="16">
        <f t="shared" si="24"/>
        <v>-2.6251644015782505E-2</v>
      </c>
      <c r="F802" s="16">
        <f t="shared" si="25"/>
        <v>-1.3749785995549324E-3</v>
      </c>
      <c r="G802" s="16"/>
    </row>
    <row r="803" spans="2:7" ht="15" thickBot="1" x14ac:dyDescent="0.4">
      <c r="B803" s="172">
        <v>2851.25</v>
      </c>
      <c r="D803" s="43">
        <v>18691.2</v>
      </c>
      <c r="E803" s="16">
        <f t="shared" si="24"/>
        <v>2.5139763018178218E-3</v>
      </c>
      <c r="F803" s="16">
        <f t="shared" si="25"/>
        <v>-6.7065588232168016E-3</v>
      </c>
      <c r="G803" s="16"/>
    </row>
    <row r="804" spans="2:7" ht="15" thickBot="1" x14ac:dyDescent="0.4">
      <c r="B804" s="172">
        <v>2844.1</v>
      </c>
      <c r="D804" s="43">
        <v>18817.400000000001</v>
      </c>
      <c r="E804" s="16">
        <f t="shared" si="24"/>
        <v>5.4264250994255914E-3</v>
      </c>
      <c r="F804" s="16">
        <f t="shared" si="25"/>
        <v>-8.1540788842562328E-3</v>
      </c>
      <c r="G804" s="16"/>
    </row>
    <row r="805" spans="2:7" ht="15" thickBot="1" x14ac:dyDescent="0.4">
      <c r="B805" s="172">
        <v>2828.75</v>
      </c>
      <c r="D805" s="43">
        <v>18972.099999999999</v>
      </c>
      <c r="E805" s="16">
        <f t="shared" si="24"/>
        <v>-2.7954365829352956E-2</v>
      </c>
      <c r="F805" s="16">
        <f t="shared" si="25"/>
        <v>-1.1305927078203548E-2</v>
      </c>
      <c r="G805" s="16"/>
    </row>
    <row r="806" spans="2:7" ht="15" thickBot="1" x14ac:dyDescent="0.4">
      <c r="B806" s="172">
        <v>2910.1</v>
      </c>
      <c r="D806" s="43">
        <v>19189.05</v>
      </c>
      <c r="E806" s="16">
        <f t="shared" si="24"/>
        <v>3.9154808106942607E-3</v>
      </c>
      <c r="F806" s="16">
        <f t="shared" si="25"/>
        <v>-6.9090259825954625E-3</v>
      </c>
      <c r="G806" s="16"/>
    </row>
    <row r="807" spans="2:7" ht="15" thickBot="1" x14ac:dyDescent="0.4">
      <c r="B807" s="172">
        <v>2898.75</v>
      </c>
      <c r="D807" s="43">
        <v>19322.55</v>
      </c>
      <c r="E807" s="16">
        <f t="shared" si="24"/>
        <v>-4.3253680110898474E-2</v>
      </c>
      <c r="F807" s="16">
        <f t="shared" si="25"/>
        <v>-3.4272009902522882E-3</v>
      </c>
      <c r="G807" s="16"/>
    </row>
    <row r="808" spans="2:7" ht="15" thickBot="1" x14ac:dyDescent="0.4">
      <c r="B808" s="172">
        <v>3029.8</v>
      </c>
      <c r="D808" s="43">
        <v>19389</v>
      </c>
      <c r="E808" s="16">
        <f t="shared" si="24"/>
        <v>-4.0656069913241555E-2</v>
      </c>
      <c r="F808" s="16">
        <f t="shared" si="25"/>
        <v>-4.8972858726192836E-4</v>
      </c>
      <c r="G808" s="16"/>
    </row>
    <row r="809" spans="2:7" ht="15" thickBot="1" x14ac:dyDescent="0.4">
      <c r="B809" s="172">
        <v>3158.2</v>
      </c>
      <c r="D809" s="43">
        <v>19398.5</v>
      </c>
      <c r="E809" s="16">
        <f t="shared" si="24"/>
        <v>-4.3819551716528515E-3</v>
      </c>
      <c r="F809" s="16">
        <f t="shared" si="25"/>
        <v>-5.0673683022777194E-3</v>
      </c>
      <c r="G809" s="16"/>
    </row>
    <row r="810" spans="2:7" ht="15" thickBot="1" x14ac:dyDescent="0.4">
      <c r="B810" s="172">
        <v>3172.1</v>
      </c>
      <c r="D810" s="43">
        <v>19497.3</v>
      </c>
      <c r="E810" s="16">
        <f t="shared" si="24"/>
        <v>7.591639667111405E-3</v>
      </c>
      <c r="F810" s="16">
        <f t="shared" si="25"/>
        <v>8.5610238053361876E-3</v>
      </c>
      <c r="G810" s="16"/>
    </row>
    <row r="811" spans="2:7" ht="15" thickBot="1" x14ac:dyDescent="0.4">
      <c r="B811" s="172">
        <v>3148.2</v>
      </c>
      <c r="D811" s="43">
        <v>19331.8</v>
      </c>
      <c r="E811" s="16">
        <f t="shared" si="24"/>
        <v>7.8432627973237246E-3</v>
      </c>
      <c r="F811" s="16">
        <f t="shared" si="25"/>
        <v>-1.2450983937715154E-3</v>
      </c>
      <c r="G811" s="16"/>
    </row>
    <row r="812" spans="2:7" ht="15" thickBot="1" x14ac:dyDescent="0.4">
      <c r="B812" s="172">
        <v>3123.7</v>
      </c>
      <c r="D812" s="43">
        <v>19355.900000000001</v>
      </c>
      <c r="E812" s="16">
        <f t="shared" si="24"/>
        <v>6.8007477599432153E-3</v>
      </c>
      <c r="F812" s="16">
        <f t="shared" si="25"/>
        <v>-4.2954000637879242E-3</v>
      </c>
      <c r="G812" s="16"/>
    </row>
    <row r="813" spans="2:7" ht="15" thickBot="1" x14ac:dyDescent="0.4">
      <c r="B813" s="172">
        <v>3102.6</v>
      </c>
      <c r="D813" s="43">
        <v>19439.400000000001</v>
      </c>
      <c r="E813" s="16">
        <f t="shared" si="24"/>
        <v>7.713919158127247E-3</v>
      </c>
      <c r="F813" s="16">
        <f t="shared" si="25"/>
        <v>2.842506564590952E-3</v>
      </c>
      <c r="G813" s="16"/>
    </row>
    <row r="814" spans="2:7" ht="15" thickBot="1" x14ac:dyDescent="0.4">
      <c r="B814" s="172">
        <v>3078.85</v>
      </c>
      <c r="D814" s="43">
        <v>19384.3</v>
      </c>
      <c r="E814" s="16">
        <f t="shared" si="24"/>
        <v>1.8710748104520114E-3</v>
      </c>
      <c r="F814" s="16">
        <f t="shared" si="25"/>
        <v>-1.5169660678643337E-3</v>
      </c>
      <c r="G814" s="16"/>
    </row>
    <row r="815" spans="2:7" ht="15" thickBot="1" x14ac:dyDescent="0.4">
      <c r="B815" s="172">
        <v>3073.1</v>
      </c>
      <c r="D815" s="43">
        <v>19413.75</v>
      </c>
      <c r="E815" s="16">
        <f t="shared" si="24"/>
        <v>-2.0151133501259522E-2</v>
      </c>
      <c r="F815" s="16">
        <f t="shared" si="25"/>
        <v>-7.7052825270259584E-3</v>
      </c>
      <c r="G815" s="16"/>
    </row>
    <row r="816" spans="2:7" ht="15" thickBot="1" x14ac:dyDescent="0.4">
      <c r="B816" s="172">
        <v>3136.3</v>
      </c>
      <c r="D816" s="43">
        <v>19564.5</v>
      </c>
      <c r="E816" s="16">
        <f t="shared" si="24"/>
        <v>1.4458532798550916E-2</v>
      </c>
      <c r="F816" s="16">
        <f t="shared" si="25"/>
        <v>-7.4550578470888862E-3</v>
      </c>
      <c r="G816" s="16"/>
    </row>
    <row r="817" spans="2:7" ht="15" thickBot="1" x14ac:dyDescent="0.4">
      <c r="B817" s="172">
        <v>3091.6</v>
      </c>
      <c r="D817" s="43">
        <v>19711.45</v>
      </c>
      <c r="E817" s="16">
        <f t="shared" si="24"/>
        <v>-7.9579001411885786E-3</v>
      </c>
      <c r="F817" s="16">
        <f t="shared" si="25"/>
        <v>-1.913996734053125E-3</v>
      </c>
      <c r="G817" s="16"/>
    </row>
    <row r="818" spans="2:7" ht="15" thickBot="1" x14ac:dyDescent="0.4">
      <c r="B818" s="172">
        <v>3116.4</v>
      </c>
      <c r="D818" s="43">
        <v>19749.25</v>
      </c>
      <c r="E818" s="16">
        <f t="shared" si="24"/>
        <v>6.3778599454249463E-3</v>
      </c>
      <c r="F818" s="16">
        <f t="shared" si="25"/>
        <v>-4.2302912043725716E-3</v>
      </c>
      <c r="G818" s="16"/>
    </row>
    <row r="819" spans="2:7" ht="15" thickBot="1" x14ac:dyDescent="0.4">
      <c r="B819" s="172">
        <v>3096.65</v>
      </c>
      <c r="D819" s="43">
        <v>19833.150000000001</v>
      </c>
      <c r="E819" s="16">
        <f t="shared" si="24"/>
        <v>3.0772719174643193E-3</v>
      </c>
      <c r="F819" s="16">
        <f t="shared" si="25"/>
        <v>-7.3076181919651262E-3</v>
      </c>
      <c r="G819" s="16"/>
    </row>
    <row r="820" spans="2:7" ht="15" thickBot="1" x14ac:dyDescent="0.4">
      <c r="B820" s="172">
        <v>3087.15</v>
      </c>
      <c r="D820" s="43">
        <v>19979.150000000001</v>
      </c>
      <c r="E820" s="16">
        <f t="shared" si="24"/>
        <v>-4.8032752534614698E-3</v>
      </c>
      <c r="F820" s="16">
        <f t="shared" si="25"/>
        <v>1.1858698404659584E-2</v>
      </c>
      <c r="G820" s="16"/>
    </row>
    <row r="821" spans="2:7" ht="15" thickBot="1" x14ac:dyDescent="0.4">
      <c r="B821" s="172">
        <v>3102.05</v>
      </c>
      <c r="D821" s="43">
        <v>19745</v>
      </c>
      <c r="E821" s="16">
        <f t="shared" si="24"/>
        <v>-1.021043059300264E-2</v>
      </c>
      <c r="F821" s="16">
        <f t="shared" si="25"/>
        <v>3.6930005820352552E-3</v>
      </c>
      <c r="G821" s="16"/>
    </row>
    <row r="822" spans="2:7" ht="15" thickBot="1" x14ac:dyDescent="0.4">
      <c r="B822" s="172">
        <v>3134.05</v>
      </c>
      <c r="D822" s="43">
        <v>19672.349999999999</v>
      </c>
      <c r="E822" s="16">
        <f t="shared" si="24"/>
        <v>-1.9902557080533345E-3</v>
      </c>
      <c r="F822" s="16">
        <f t="shared" si="25"/>
        <v>-4.1919453675187679E-4</v>
      </c>
      <c r="G822" s="16"/>
    </row>
    <row r="823" spans="2:7" ht="15" thickBot="1" x14ac:dyDescent="0.4">
      <c r="B823" s="172">
        <v>3140.3</v>
      </c>
      <c r="D823" s="43">
        <v>19680.599999999999</v>
      </c>
      <c r="E823" s="16">
        <f t="shared" si="24"/>
        <v>-1.7166290491781311E-3</v>
      </c>
      <c r="F823" s="16">
        <f t="shared" si="25"/>
        <v>-4.9397572086580244E-3</v>
      </c>
      <c r="G823" s="16"/>
    </row>
    <row r="824" spans="2:7" ht="15" thickBot="1" x14ac:dyDescent="0.4">
      <c r="B824" s="172">
        <v>3145.7</v>
      </c>
      <c r="D824" s="43">
        <v>19778.3</v>
      </c>
      <c r="E824" s="16">
        <f t="shared" si="24"/>
        <v>2.7893335883582004E-3</v>
      </c>
      <c r="F824" s="16">
        <f t="shared" si="25"/>
        <v>6.0224111007685099E-3</v>
      </c>
      <c r="G824" s="16"/>
    </row>
    <row r="825" spans="2:7" ht="15" thickBot="1" x14ac:dyDescent="0.4">
      <c r="B825" s="172">
        <v>3136.95</v>
      </c>
      <c r="D825" s="43">
        <v>19659.900000000001</v>
      </c>
      <c r="E825" s="16">
        <f t="shared" si="24"/>
        <v>-1.1205673758865276E-2</v>
      </c>
      <c r="F825" s="16">
        <f t="shared" si="25"/>
        <v>7.0497631839483432E-4</v>
      </c>
      <c r="G825" s="16"/>
    </row>
    <row r="826" spans="2:7" ht="15" thickBot="1" x14ac:dyDescent="0.4">
      <c r="B826" s="172">
        <v>3172.5</v>
      </c>
      <c r="D826" s="43">
        <v>19646.05</v>
      </c>
      <c r="E826" s="16">
        <f t="shared" si="24"/>
        <v>-9.7387395823578249E-3</v>
      </c>
      <c r="F826" s="16">
        <f t="shared" si="25"/>
        <v>-5.4546467008879107E-3</v>
      </c>
      <c r="G826" s="16"/>
    </row>
    <row r="827" spans="2:7" ht="15" thickBot="1" x14ac:dyDescent="0.4">
      <c r="B827" s="172">
        <v>3203.7</v>
      </c>
      <c r="D827" s="43">
        <v>19753.8</v>
      </c>
      <c r="E827" s="16">
        <f t="shared" si="24"/>
        <v>3.2752006705135228E-2</v>
      </c>
      <c r="F827" s="16">
        <f t="shared" si="25"/>
        <v>1.0261711653503092E-3</v>
      </c>
      <c r="G827" s="16"/>
    </row>
    <row r="828" spans="2:7" ht="15" thickBot="1" x14ac:dyDescent="0.4">
      <c r="B828" s="172">
        <v>3102.1</v>
      </c>
      <c r="D828" s="43">
        <v>19733.55</v>
      </c>
      <c r="E828" s="16">
        <f t="shared" si="24"/>
        <v>3.6295912742821956E-2</v>
      </c>
      <c r="F828" s="16">
        <f t="shared" si="25"/>
        <v>1.0600951012851745E-2</v>
      </c>
      <c r="G828" s="16"/>
    </row>
    <row r="829" spans="2:7" ht="15" thickBot="1" x14ac:dyDescent="0.4">
      <c r="B829" s="172">
        <v>2993.45</v>
      </c>
      <c r="D829" s="43">
        <v>19526.55</v>
      </c>
      <c r="E829" s="16">
        <f t="shared" si="24"/>
        <v>1.3903942555209214E-2</v>
      </c>
      <c r="F829" s="16">
        <f t="shared" si="25"/>
        <v>7.4761436719783525E-3</v>
      </c>
      <c r="G829" s="16"/>
    </row>
    <row r="830" spans="2:7" ht="15" thickBot="1" x14ac:dyDescent="0.4">
      <c r="B830" s="172">
        <v>2952.4</v>
      </c>
      <c r="D830" s="43">
        <v>19381.650000000001</v>
      </c>
      <c r="E830" s="16">
        <f t="shared" si="24"/>
        <v>2.6148673888681806E-3</v>
      </c>
      <c r="F830" s="16">
        <f t="shared" si="25"/>
        <v>-6.934979761233695E-3</v>
      </c>
      <c r="G830" s="16"/>
    </row>
    <row r="831" spans="2:7" ht="15" thickBot="1" x14ac:dyDescent="0.4">
      <c r="B831" s="172">
        <v>2944.7</v>
      </c>
      <c r="D831" s="43">
        <v>19517</v>
      </c>
      <c r="E831" s="16">
        <f t="shared" si="24"/>
        <v>-3.1651461552785198E-3</v>
      </c>
      <c r="F831" s="16">
        <f t="shared" si="25"/>
        <v>-4.0975032274853662E-3</v>
      </c>
      <c r="G831" s="16"/>
    </row>
    <row r="832" spans="2:7" ht="15" thickBot="1" x14ac:dyDescent="0.4">
      <c r="B832" s="172">
        <v>2954.05</v>
      </c>
      <c r="D832" s="43">
        <v>19597.3</v>
      </c>
      <c r="E832" s="16">
        <f t="shared" si="24"/>
        <v>-3.6796113339202408E-2</v>
      </c>
      <c r="F832" s="16">
        <f t="shared" si="25"/>
        <v>1.3514998071111339E-3</v>
      </c>
      <c r="G832" s="16"/>
    </row>
    <row r="833" spans="2:7" ht="15" thickBot="1" x14ac:dyDescent="0.4">
      <c r="B833" s="172">
        <v>3066.9</v>
      </c>
      <c r="D833" s="43">
        <v>19570.849999999999</v>
      </c>
      <c r="E833" s="16">
        <f t="shared" si="24"/>
        <v>2.3531718795961609E-3</v>
      </c>
      <c r="F833" s="16">
        <f t="shared" si="25"/>
        <v>-3.1427399904749853E-3</v>
      </c>
      <c r="G833" s="16"/>
    </row>
    <row r="834" spans="2:7" ht="15" thickBot="1" x14ac:dyDescent="0.4">
      <c r="B834" s="172">
        <v>3059.7</v>
      </c>
      <c r="D834" s="43">
        <v>19632.55</v>
      </c>
      <c r="E834" s="16">
        <f t="shared" si="24"/>
        <v>7.839520405810374E-3</v>
      </c>
      <c r="F834" s="16">
        <f t="shared" si="25"/>
        <v>4.5770630043340255E-3</v>
      </c>
      <c r="G834" s="16"/>
    </row>
    <row r="835" spans="2:7" ht="15" thickBot="1" x14ac:dyDescent="0.4">
      <c r="B835" s="172">
        <v>3035.9</v>
      </c>
      <c r="D835" s="43">
        <v>19543.099999999999</v>
      </c>
      <c r="E835" s="16">
        <f t="shared" si="24"/>
        <v>1.2574211193382867E-2</v>
      </c>
      <c r="F835" s="16">
        <f t="shared" si="25"/>
        <v>5.908906080305476E-3</v>
      </c>
      <c r="G835" s="16"/>
    </row>
    <row r="836" spans="2:7" ht="15" thickBot="1" x14ac:dyDescent="0.4">
      <c r="B836" s="172">
        <v>2998.2</v>
      </c>
      <c r="D836" s="43">
        <v>19428.3</v>
      </c>
      <c r="E836" s="16">
        <f t="shared" ref="E836:E899" si="26">B836/B837-1</f>
        <v>-4.135319615365507E-3</v>
      </c>
      <c r="F836" s="16">
        <f t="shared" ref="F836:F899" si="27">D836/D837-1</f>
        <v>-3.2159221592475973E-4</v>
      </c>
      <c r="G836" s="16"/>
    </row>
    <row r="837" spans="2:7" ht="15" thickBot="1" x14ac:dyDescent="0.4">
      <c r="B837" s="172">
        <v>3010.65</v>
      </c>
      <c r="D837" s="43">
        <v>19434.55</v>
      </c>
      <c r="E837" s="16">
        <f t="shared" si="26"/>
        <v>9.6922947933260062E-3</v>
      </c>
      <c r="F837" s="16">
        <f t="shared" si="27"/>
        <v>-1.5643462625225535E-3</v>
      </c>
      <c r="G837" s="16"/>
    </row>
    <row r="838" spans="2:7" ht="15" thickBot="1" x14ac:dyDescent="0.4">
      <c r="B838" s="172">
        <v>2981.75</v>
      </c>
      <c r="D838" s="43">
        <v>19465</v>
      </c>
      <c r="E838" s="16">
        <f t="shared" si="26"/>
        <v>-3.1092760067535918E-3</v>
      </c>
      <c r="F838" s="16">
        <f t="shared" si="27"/>
        <v>5.1509792024373446E-3</v>
      </c>
      <c r="G838" s="16"/>
    </row>
    <row r="839" spans="2:7" ht="15" thickBot="1" x14ac:dyDescent="0.4">
      <c r="B839" s="172">
        <v>2991.05</v>
      </c>
      <c r="D839" s="43">
        <v>19365.25</v>
      </c>
      <c r="E839" s="16">
        <f t="shared" si="26"/>
        <v>2.1865017679916665E-2</v>
      </c>
      <c r="F839" s="16">
        <f t="shared" si="27"/>
        <v>2.8534216461291173E-3</v>
      </c>
      <c r="G839" s="16"/>
    </row>
    <row r="840" spans="2:7" ht="15" thickBot="1" x14ac:dyDescent="0.4">
      <c r="B840" s="172">
        <v>2927.05</v>
      </c>
      <c r="D840" s="43">
        <v>19310.150000000001</v>
      </c>
      <c r="E840" s="16">
        <f t="shared" si="26"/>
        <v>-1.5179942009209135E-3</v>
      </c>
      <c r="F840" s="16">
        <f t="shared" si="27"/>
        <v>-4.3029659269036014E-3</v>
      </c>
      <c r="G840" s="16"/>
    </row>
    <row r="841" spans="2:7" ht="15" thickBot="1" x14ac:dyDescent="0.4">
      <c r="B841" s="172">
        <v>2931.5</v>
      </c>
      <c r="D841" s="43">
        <v>19393.599999999999</v>
      </c>
      <c r="E841" s="16">
        <f t="shared" si="26"/>
        <v>-8.5397818550773108E-3</v>
      </c>
      <c r="F841" s="16">
        <f t="shared" si="27"/>
        <v>-1.4693410392119244E-4</v>
      </c>
      <c r="G841" s="16"/>
    </row>
    <row r="842" spans="2:7" ht="15" thickBot="1" x14ac:dyDescent="0.4">
      <c r="B842" s="172">
        <v>2956.75</v>
      </c>
      <c r="D842" s="43">
        <v>19396.45</v>
      </c>
      <c r="E842" s="16">
        <f t="shared" si="26"/>
        <v>1.6939103921402854E-3</v>
      </c>
      <c r="F842" s="16">
        <f t="shared" si="27"/>
        <v>-2.4454844682163523E-3</v>
      </c>
      <c r="G842" s="16"/>
    </row>
    <row r="843" spans="2:7" ht="15" thickBot="1" x14ac:dyDescent="0.4">
      <c r="B843" s="172">
        <v>2951.75</v>
      </c>
      <c r="D843" s="43">
        <v>19444</v>
      </c>
      <c r="E843" s="16">
        <f t="shared" si="26"/>
        <v>8.1974212279054548E-3</v>
      </c>
      <c r="F843" s="16">
        <f t="shared" si="27"/>
        <v>2.9556345329528888E-3</v>
      </c>
      <c r="G843" s="16"/>
    </row>
    <row r="844" spans="2:7" ht="15" thickBot="1" x14ac:dyDescent="0.4">
      <c r="B844" s="172">
        <v>2927.75</v>
      </c>
      <c r="D844" s="43">
        <v>19386.7</v>
      </c>
      <c r="E844" s="16">
        <f t="shared" si="26"/>
        <v>5.7885877220102966E-3</v>
      </c>
      <c r="F844" s="16">
        <f t="shared" si="27"/>
        <v>6.2753687882155518E-3</v>
      </c>
      <c r="G844" s="16"/>
    </row>
    <row r="845" spans="2:7" ht="15" thickBot="1" x14ac:dyDescent="0.4">
      <c r="B845" s="172">
        <v>2910.9</v>
      </c>
      <c r="D845" s="43">
        <v>19265.8</v>
      </c>
      <c r="E845" s="16">
        <f t="shared" si="26"/>
        <v>-7.1117932975185427E-3</v>
      </c>
      <c r="F845" s="16">
        <f t="shared" si="27"/>
        <v>-2.0848386904622762E-3</v>
      </c>
      <c r="G845" s="16"/>
    </row>
    <row r="846" spans="2:7" ht="15" thickBot="1" x14ac:dyDescent="0.4">
      <c r="B846" s="172">
        <v>2931.75</v>
      </c>
      <c r="D846" s="43">
        <v>19306.05</v>
      </c>
      <c r="E846" s="16">
        <f t="shared" si="26"/>
        <v>-1.887455449023645E-2</v>
      </c>
      <c r="F846" s="16">
        <f t="shared" si="27"/>
        <v>-1.8921916076650724E-3</v>
      </c>
      <c r="G846" s="16"/>
    </row>
    <row r="847" spans="2:7" ht="15" thickBot="1" x14ac:dyDescent="0.4">
      <c r="B847" s="172">
        <v>2988.15</v>
      </c>
      <c r="D847" s="43">
        <v>19342.650000000001</v>
      </c>
      <c r="E847" s="16">
        <f t="shared" si="26"/>
        <v>1.2297372833985465E-2</v>
      </c>
      <c r="F847" s="16">
        <f t="shared" si="27"/>
        <v>-2.4809471015552198E-4</v>
      </c>
      <c r="G847" s="16"/>
    </row>
    <row r="848" spans="2:7" ht="15" thickBot="1" x14ac:dyDescent="0.4">
      <c r="B848" s="172">
        <v>2951.85</v>
      </c>
      <c r="D848" s="43">
        <v>19347.45</v>
      </c>
      <c r="E848" s="16">
        <f t="shared" si="26"/>
        <v>1.2311596563727045E-2</v>
      </c>
      <c r="F848" s="16">
        <f t="shared" si="27"/>
        <v>4.8639749036554214E-3</v>
      </c>
      <c r="G848" s="16"/>
    </row>
    <row r="849" spans="2:7" ht="15" thickBot="1" x14ac:dyDescent="0.4">
      <c r="B849" s="172">
        <v>2915.95</v>
      </c>
      <c r="D849" s="43">
        <v>19253.8</v>
      </c>
      <c r="E849" s="16">
        <f t="shared" si="26"/>
        <v>-3.9113206258113431E-3</v>
      </c>
      <c r="F849" s="16">
        <f t="shared" si="27"/>
        <v>-9.3386775609329842E-3</v>
      </c>
      <c r="G849" s="16"/>
    </row>
    <row r="850" spans="2:7" ht="15" thickBot="1" x14ac:dyDescent="0.4">
      <c r="B850" s="172">
        <v>2927.4</v>
      </c>
      <c r="D850" s="43">
        <v>19435.3</v>
      </c>
      <c r="E850" s="16">
        <f t="shared" si="26"/>
        <v>-5.2500127427492771E-3</v>
      </c>
      <c r="F850" s="16">
        <f t="shared" si="27"/>
        <v>-4.7878005817049152E-3</v>
      </c>
      <c r="G850" s="16"/>
    </row>
    <row r="851" spans="2:7" ht="15" thickBot="1" x14ac:dyDescent="0.4">
      <c r="B851" s="172">
        <v>2942.85</v>
      </c>
      <c r="D851" s="43">
        <v>19528.8</v>
      </c>
      <c r="E851" s="16">
        <f t="shared" si="26"/>
        <v>2.5550615769840412E-3</v>
      </c>
      <c r="F851" s="16">
        <f t="shared" si="27"/>
        <v>-2.3550567308135983E-3</v>
      </c>
      <c r="G851" s="16"/>
    </row>
    <row r="852" spans="2:7" ht="15" thickBot="1" x14ac:dyDescent="0.4">
      <c r="B852" s="172">
        <v>2935.35</v>
      </c>
      <c r="D852" s="43">
        <v>19574.900000000001</v>
      </c>
      <c r="E852" s="16">
        <f t="shared" si="26"/>
        <v>-9.0197413206261068E-4</v>
      </c>
      <c r="F852" s="16">
        <f t="shared" si="27"/>
        <v>-1.8433485203493971E-3</v>
      </c>
      <c r="G852" s="16"/>
    </row>
    <row r="853" spans="2:7" ht="15" thickBot="1" x14ac:dyDescent="0.4">
      <c r="B853" s="172">
        <v>2938</v>
      </c>
      <c r="D853" s="43">
        <v>19611.05</v>
      </c>
      <c r="E853" s="16">
        <f t="shared" si="26"/>
        <v>-7.7341348914181651E-3</v>
      </c>
      <c r="F853" s="16">
        <f t="shared" si="27"/>
        <v>-5.8802507217247113E-3</v>
      </c>
      <c r="G853" s="16"/>
    </row>
    <row r="854" spans="2:7" ht="15" thickBot="1" x14ac:dyDescent="0.4">
      <c r="B854" s="172">
        <v>2960.9</v>
      </c>
      <c r="D854" s="43">
        <v>19727.05</v>
      </c>
      <c r="E854" s="16">
        <f t="shared" si="26"/>
        <v>-1.5903614457831283E-2</v>
      </c>
      <c r="F854" s="16">
        <f t="shared" si="27"/>
        <v>-4.6871964863686166E-3</v>
      </c>
      <c r="G854" s="16"/>
    </row>
    <row r="855" spans="2:7" ht="15" thickBot="1" x14ac:dyDescent="0.4">
      <c r="B855" s="172">
        <v>3008.75</v>
      </c>
      <c r="D855" s="43">
        <v>19819.95</v>
      </c>
      <c r="E855" s="16">
        <f t="shared" si="26"/>
        <v>-1.492952674055037E-2</v>
      </c>
      <c r="F855" s="16">
        <f t="shared" si="27"/>
        <v>-8.8216099438146456E-3</v>
      </c>
      <c r="G855" s="16"/>
    </row>
    <row r="856" spans="2:7" ht="15" thickBot="1" x14ac:dyDescent="0.4">
      <c r="B856" s="172">
        <v>3054.35</v>
      </c>
      <c r="D856" s="43">
        <v>19996.349999999999</v>
      </c>
      <c r="E856" s="16">
        <f t="shared" si="26"/>
        <v>1.1357427857154656E-2</v>
      </c>
      <c r="F856" s="16">
        <f t="shared" si="27"/>
        <v>1.5755356821300914E-4</v>
      </c>
      <c r="G856" s="16"/>
    </row>
    <row r="857" spans="2:7" ht="15" thickBot="1" x14ac:dyDescent="0.4">
      <c r="B857" s="172">
        <v>3020.05</v>
      </c>
      <c r="D857" s="43">
        <v>19993.2</v>
      </c>
      <c r="E857" s="16">
        <f t="shared" si="26"/>
        <v>8.565989847715727E-3</v>
      </c>
      <c r="F857" s="16">
        <f t="shared" si="27"/>
        <v>-3.8266068759341687E-3</v>
      </c>
      <c r="G857" s="16"/>
    </row>
    <row r="858" spans="2:7" ht="15" thickBot="1" x14ac:dyDescent="0.4">
      <c r="B858" s="172">
        <v>2994.4</v>
      </c>
      <c r="D858" s="43">
        <v>20070</v>
      </c>
      <c r="E858" s="16">
        <f t="shared" si="26"/>
        <v>-1.3340448239060887E-3</v>
      </c>
      <c r="F858" s="16">
        <f t="shared" si="27"/>
        <v>-1.6465122294571088E-3</v>
      </c>
      <c r="G858" s="16"/>
    </row>
    <row r="859" spans="2:7" ht="15" thickBot="1" x14ac:dyDescent="0.4">
      <c r="B859" s="172">
        <v>2998.4</v>
      </c>
      <c r="D859" s="43">
        <v>20103.099999999999</v>
      </c>
      <c r="E859" s="16">
        <f t="shared" si="26"/>
        <v>-2.1681322087540922E-2</v>
      </c>
      <c r="F859" s="16">
        <f t="shared" si="27"/>
        <v>-4.4199907390670701E-3</v>
      </c>
      <c r="G859" s="16"/>
    </row>
    <row r="860" spans="2:7" ht="15" thickBot="1" x14ac:dyDescent="0.4">
      <c r="B860" s="172">
        <v>3064.85</v>
      </c>
      <c r="D860" s="43">
        <v>20192.349999999999</v>
      </c>
      <c r="E860" s="16">
        <f t="shared" si="26"/>
        <v>-1.598895542035228E-2</v>
      </c>
      <c r="F860" s="16">
        <f t="shared" si="27"/>
        <v>2.9329518757481576E-3</v>
      </c>
      <c r="G860" s="16"/>
    </row>
    <row r="861" spans="2:7" ht="15" thickBot="1" x14ac:dyDescent="0.4">
      <c r="B861" s="172">
        <v>3114.65</v>
      </c>
      <c r="D861" s="43">
        <v>20133.3</v>
      </c>
      <c r="E861" s="16">
        <f t="shared" si="26"/>
        <v>1.7244476378660112E-2</v>
      </c>
      <c r="F861" s="16">
        <f t="shared" si="27"/>
        <v>1.1652446561548402E-2</v>
      </c>
      <c r="G861" s="16"/>
    </row>
    <row r="862" spans="2:7" ht="15" thickBot="1" x14ac:dyDescent="0.4">
      <c r="B862" s="172">
        <v>3061.85</v>
      </c>
      <c r="D862" s="43">
        <v>19901.400000000001</v>
      </c>
      <c r="E862" s="16">
        <f t="shared" si="26"/>
        <v>2.0293573701661183E-2</v>
      </c>
      <c r="F862" s="16">
        <f t="shared" si="27"/>
        <v>8.0562850927068386E-3</v>
      </c>
      <c r="G862" s="16"/>
    </row>
    <row r="863" spans="2:7" ht="15" thickBot="1" x14ac:dyDescent="0.4">
      <c r="B863" s="172">
        <v>3000.95</v>
      </c>
      <c r="D863" s="43">
        <v>19742.349999999999</v>
      </c>
      <c r="E863" s="16">
        <f t="shared" si="26"/>
        <v>-7.1955536440930778E-3</v>
      </c>
      <c r="F863" s="16">
        <f t="shared" si="27"/>
        <v>3.4613771808327254E-3</v>
      </c>
      <c r="G863" s="16"/>
    </row>
    <row r="864" spans="2:7" ht="15" thickBot="1" x14ac:dyDescent="0.4">
      <c r="B864" s="172">
        <v>3022.7</v>
      </c>
      <c r="D864" s="43">
        <v>19674.25</v>
      </c>
      <c r="E864" s="16">
        <f t="shared" si="26"/>
        <v>1.6136080949339382E-2</v>
      </c>
      <c r="F864" s="16">
        <f t="shared" si="27"/>
        <v>-1.5248125115885358E-5</v>
      </c>
      <c r="G864" s="16"/>
    </row>
    <row r="865" spans="2:7" ht="15" thickBot="1" x14ac:dyDescent="0.4">
      <c r="B865" s="172">
        <v>2974.7</v>
      </c>
      <c r="D865" s="43">
        <v>19674.55</v>
      </c>
      <c r="E865" s="16">
        <f t="shared" si="26"/>
        <v>-1.9658246411916935E-2</v>
      </c>
      <c r="F865" s="16">
        <f t="shared" si="27"/>
        <v>5.0089754738169567E-4</v>
      </c>
      <c r="G865" s="16"/>
    </row>
    <row r="866" spans="2:7" ht="15" thickBot="1" x14ac:dyDescent="0.4">
      <c r="B866" s="172">
        <v>3034.35</v>
      </c>
      <c r="D866" s="43">
        <v>19664.7</v>
      </c>
      <c r="E866" s="16">
        <f t="shared" si="26"/>
        <v>9.3136195053802329E-3</v>
      </c>
      <c r="F866" s="16">
        <f t="shared" si="27"/>
        <v>-2.6247118522857438E-3</v>
      </c>
      <c r="G866" s="16"/>
    </row>
    <row r="867" spans="2:7" ht="15" thickBot="1" x14ac:dyDescent="0.4">
      <c r="B867" s="172">
        <v>3006.35</v>
      </c>
      <c r="D867" s="43">
        <v>19716.45</v>
      </c>
      <c r="E867" s="16">
        <f t="shared" si="26"/>
        <v>1.2239057239057161E-2</v>
      </c>
      <c r="F867" s="16">
        <f t="shared" si="27"/>
        <v>9.8803752391343203E-3</v>
      </c>
      <c r="G867" s="16"/>
    </row>
    <row r="868" spans="2:7" ht="15" thickBot="1" x14ac:dyDescent="0.4">
      <c r="B868" s="172">
        <v>2970</v>
      </c>
      <c r="D868" s="43">
        <v>19523.55</v>
      </c>
      <c r="E868" s="16">
        <f t="shared" si="26"/>
        <v>-2.8538719437402937E-2</v>
      </c>
      <c r="F868" s="16">
        <f t="shared" si="27"/>
        <v>-5.8431737981393672E-3</v>
      </c>
      <c r="G868" s="16"/>
    </row>
    <row r="869" spans="2:7" ht="15" thickBot="1" x14ac:dyDescent="0.4">
      <c r="B869" s="172">
        <v>3057.25</v>
      </c>
      <c r="D869" s="43">
        <v>19638.3</v>
      </c>
      <c r="E869" s="16">
        <f t="shared" si="26"/>
        <v>1.3811513463324099E-2</v>
      </c>
      <c r="F869" s="16">
        <f t="shared" si="27"/>
        <v>5.6096780387888678E-3</v>
      </c>
      <c r="G869" s="16"/>
    </row>
    <row r="870" spans="2:7" ht="15" thickBot="1" x14ac:dyDescent="0.4">
      <c r="B870" s="172">
        <v>3015.6</v>
      </c>
      <c r="D870" s="43">
        <v>19528.75</v>
      </c>
      <c r="E870" s="16">
        <f t="shared" si="26"/>
        <v>8.8824208360513968E-3</v>
      </c>
      <c r="F870" s="16">
        <f t="shared" si="27"/>
        <v>4.7669028251553502E-3</v>
      </c>
      <c r="G870" s="16"/>
    </row>
    <row r="871" spans="2:7" ht="15" thickBot="1" x14ac:dyDescent="0.4">
      <c r="B871" s="172">
        <v>2989.05</v>
      </c>
      <c r="D871" s="43">
        <v>19436.099999999999</v>
      </c>
      <c r="E871" s="16">
        <f t="shared" si="26"/>
        <v>-9.1492218189050956E-3</v>
      </c>
      <c r="F871" s="16">
        <f t="shared" si="27"/>
        <v>-5.6099151989563723E-3</v>
      </c>
      <c r="G871" s="16"/>
    </row>
    <row r="872" spans="2:7" ht="15" thickBot="1" x14ac:dyDescent="0.4">
      <c r="B872" s="172">
        <v>3016.65</v>
      </c>
      <c r="D872" s="43">
        <v>19545.75</v>
      </c>
      <c r="E872" s="16">
        <f t="shared" si="26"/>
        <v>-7.0276497695852536E-3</v>
      </c>
      <c r="F872" s="16">
        <f t="shared" si="27"/>
        <v>-5.4824840359223304E-3</v>
      </c>
      <c r="G872" s="16"/>
    </row>
    <row r="873" spans="2:7" ht="15" thickBot="1" x14ac:dyDescent="0.4">
      <c r="B873" s="172">
        <v>3038</v>
      </c>
      <c r="D873" s="43">
        <v>19653.5</v>
      </c>
      <c r="E873" s="16">
        <f t="shared" si="26"/>
        <v>2.8053196169334438E-2</v>
      </c>
      <c r="F873" s="16">
        <f t="shared" si="27"/>
        <v>7.2338800810769488E-3</v>
      </c>
      <c r="G873" s="16"/>
    </row>
    <row r="874" spans="2:7" ht="15" thickBot="1" x14ac:dyDescent="0.4">
      <c r="B874" s="172">
        <v>2955.1</v>
      </c>
      <c r="D874" s="43">
        <v>19512.349999999999</v>
      </c>
      <c r="E874" s="16">
        <f t="shared" si="26"/>
        <v>-7.2897070679925902E-3</v>
      </c>
      <c r="F874" s="16">
        <f t="shared" si="27"/>
        <v>-9.0147969639179371E-3</v>
      </c>
      <c r="G874" s="16"/>
    </row>
    <row r="875" spans="2:7" ht="15" thickBot="1" x14ac:dyDescent="0.4">
      <c r="B875" s="172">
        <v>2976.8</v>
      </c>
      <c r="D875" s="43">
        <v>19689.849999999999</v>
      </c>
      <c r="E875" s="16">
        <f t="shared" si="26"/>
        <v>-4.0005159875517893E-2</v>
      </c>
      <c r="F875" s="16">
        <f t="shared" si="27"/>
        <v>-6.1328480896052362E-3</v>
      </c>
      <c r="G875" s="16"/>
    </row>
    <row r="876" spans="2:7" ht="15" thickBot="1" x14ac:dyDescent="0.4">
      <c r="B876" s="172">
        <v>3100.85</v>
      </c>
      <c r="D876" s="43">
        <v>19811.349999999999</v>
      </c>
      <c r="E876" s="16">
        <f t="shared" si="26"/>
        <v>4.0799805715210358E-3</v>
      </c>
      <c r="F876" s="16">
        <f t="shared" si="27"/>
        <v>8.7652824088091386E-4</v>
      </c>
      <c r="G876" s="16"/>
    </row>
    <row r="877" spans="2:7" ht="15" thickBot="1" x14ac:dyDescent="0.4">
      <c r="B877" s="172">
        <v>3088.25</v>
      </c>
      <c r="D877" s="43">
        <v>19794</v>
      </c>
      <c r="E877" s="16">
        <f t="shared" si="26"/>
        <v>-3.2919685649275277E-3</v>
      </c>
      <c r="F877" s="16">
        <f t="shared" si="27"/>
        <v>2.174567934362992E-3</v>
      </c>
      <c r="G877" s="16"/>
    </row>
    <row r="878" spans="2:7" ht="15" thickBot="1" x14ac:dyDescent="0.4">
      <c r="B878" s="172">
        <v>3098.45</v>
      </c>
      <c r="D878" s="43">
        <v>19751.05</v>
      </c>
      <c r="E878" s="16">
        <f t="shared" si="26"/>
        <v>-1.9788041758937114E-2</v>
      </c>
      <c r="F878" s="16">
        <f t="shared" si="27"/>
        <v>9.7811902137423523E-4</v>
      </c>
      <c r="G878" s="16"/>
    </row>
    <row r="879" spans="2:7" ht="15" thickBot="1" x14ac:dyDescent="0.4">
      <c r="B879" s="172">
        <v>3161</v>
      </c>
      <c r="D879" s="43">
        <v>19731.75</v>
      </c>
      <c r="E879" s="16">
        <f t="shared" si="26"/>
        <v>-3.7662112545107096E-3</v>
      </c>
      <c r="F879" s="16">
        <f t="shared" si="27"/>
        <v>-4.0254397698306077E-3</v>
      </c>
      <c r="G879" s="16"/>
    </row>
    <row r="880" spans="2:7" ht="15" thickBot="1" x14ac:dyDescent="0.4">
      <c r="B880" s="172">
        <v>3172.95</v>
      </c>
      <c r="D880" s="43">
        <v>19811.5</v>
      </c>
      <c r="E880" s="16">
        <f t="shared" si="26"/>
        <v>6.2794348508632414E-3</v>
      </c>
      <c r="F880" s="16">
        <f t="shared" si="27"/>
        <v>7.1373741173601513E-3</v>
      </c>
      <c r="G880" s="16"/>
    </row>
    <row r="881" spans="2:7" ht="15" thickBot="1" x14ac:dyDescent="0.4">
      <c r="B881" s="172">
        <v>3153.15</v>
      </c>
      <c r="D881" s="43">
        <v>19671.099999999999</v>
      </c>
      <c r="E881" s="16">
        <f t="shared" si="26"/>
        <v>-3.4508627156789151E-2</v>
      </c>
      <c r="F881" s="16">
        <f t="shared" si="27"/>
        <v>2.3643673533861875E-3</v>
      </c>
      <c r="G881" s="16"/>
    </row>
    <row r="882" spans="2:7" ht="15" thickBot="1" x14ac:dyDescent="0.4">
      <c r="B882" s="172">
        <v>3265.85</v>
      </c>
      <c r="D882" s="43">
        <v>19624.7</v>
      </c>
      <c r="E882" s="16">
        <f t="shared" si="26"/>
        <v>1.7002724795640356E-2</v>
      </c>
      <c r="F882" s="16">
        <f t="shared" si="27"/>
        <v>4.1985094140251089E-3</v>
      </c>
      <c r="G882" s="16"/>
    </row>
    <row r="883" spans="2:7" ht="15" thickBot="1" x14ac:dyDescent="0.4">
      <c r="B883" s="172">
        <v>3211.25</v>
      </c>
      <c r="D883" s="43">
        <v>19542.650000000001</v>
      </c>
      <c r="E883" s="16">
        <f t="shared" si="26"/>
        <v>1.9492991729765041E-2</v>
      </c>
      <c r="F883" s="16">
        <f t="shared" si="27"/>
        <v>1.3530929505880085E-2</v>
      </c>
      <c r="G883" s="16"/>
    </row>
    <row r="884" spans="2:7" ht="15" thickBot="1" x14ac:dyDescent="0.4">
      <c r="B884" s="172">
        <v>3149.85</v>
      </c>
      <c r="D884" s="43">
        <v>19281.75</v>
      </c>
      <c r="E884" s="16">
        <f t="shared" si="26"/>
        <v>2.8654663546492376E-3</v>
      </c>
      <c r="F884" s="16">
        <f t="shared" si="27"/>
        <v>8.3463418077986962E-3</v>
      </c>
      <c r="G884" s="16"/>
    </row>
    <row r="885" spans="2:7" ht="15" thickBot="1" x14ac:dyDescent="0.4">
      <c r="B885" s="172">
        <v>3140.85</v>
      </c>
      <c r="D885" s="43">
        <v>19122.150000000001</v>
      </c>
      <c r="E885" s="16">
        <f t="shared" si="26"/>
        <v>9.2867815999615466E-3</v>
      </c>
      <c r="F885" s="16">
        <f t="shared" si="27"/>
        <v>1.4047647456548518E-2</v>
      </c>
      <c r="G885" s="16"/>
    </row>
    <row r="886" spans="2:7" ht="15" thickBot="1" x14ac:dyDescent="0.4">
      <c r="B886" s="172">
        <v>3111.95</v>
      </c>
      <c r="D886" s="43">
        <v>18857.25</v>
      </c>
      <c r="E886" s="16">
        <f t="shared" si="26"/>
        <v>-8.0329027697501054E-5</v>
      </c>
      <c r="F886" s="16">
        <f t="shared" si="27"/>
        <v>-9.9751932693695755E-3</v>
      </c>
      <c r="G886" s="16"/>
    </row>
    <row r="887" spans="2:7" ht="15" thickBot="1" x14ac:dyDescent="0.4">
      <c r="B887" s="172">
        <v>3112.2</v>
      </c>
      <c r="D887" s="43">
        <v>19047.25</v>
      </c>
      <c r="E887" s="16">
        <f t="shared" si="26"/>
        <v>5.9478836786852618E-4</v>
      </c>
      <c r="F887" s="16">
        <f t="shared" si="27"/>
        <v>-4.8926643992707186E-3</v>
      </c>
      <c r="G887" s="16"/>
    </row>
    <row r="888" spans="2:7" ht="15" thickBot="1" x14ac:dyDescent="0.4">
      <c r="B888" s="172">
        <v>3110.35</v>
      </c>
      <c r="D888" s="43">
        <v>19140.900000000001</v>
      </c>
      <c r="E888" s="16">
        <f t="shared" si="26"/>
        <v>7.123544934997561E-3</v>
      </c>
      <c r="F888" s="16">
        <f t="shared" si="27"/>
        <v>3.2128556154218391E-3</v>
      </c>
      <c r="G888" s="16"/>
    </row>
    <row r="889" spans="2:7" ht="15" thickBot="1" x14ac:dyDescent="0.4">
      <c r="B889" s="172">
        <v>3088.35</v>
      </c>
      <c r="D889" s="43">
        <v>19079.599999999999</v>
      </c>
      <c r="E889" s="16">
        <f t="shared" si="26"/>
        <v>-1.3258096331387748E-3</v>
      </c>
      <c r="F889" s="16">
        <f t="shared" si="27"/>
        <v>4.7632463801696723E-3</v>
      </c>
      <c r="G889" s="16"/>
    </row>
    <row r="890" spans="2:7" ht="15" thickBot="1" x14ac:dyDescent="0.4">
      <c r="B890" s="172">
        <v>3092.45</v>
      </c>
      <c r="D890" s="43">
        <v>18989.150000000001</v>
      </c>
      <c r="E890" s="16">
        <f t="shared" si="26"/>
        <v>1.3220405622358378E-2</v>
      </c>
      <c r="F890" s="16">
        <f t="shared" si="27"/>
        <v>-7.5313916872459252E-3</v>
      </c>
      <c r="G890" s="16"/>
    </row>
    <row r="891" spans="2:7" ht="15" thickBot="1" x14ac:dyDescent="0.4">
      <c r="B891" s="172">
        <v>3052.1</v>
      </c>
      <c r="D891" s="43">
        <v>19133.25</v>
      </c>
      <c r="E891" s="16">
        <f t="shared" si="26"/>
        <v>-1.2073541788049535E-2</v>
      </c>
      <c r="F891" s="16">
        <f t="shared" si="27"/>
        <v>-5.0622445477519484E-3</v>
      </c>
      <c r="G891" s="16"/>
    </row>
    <row r="892" spans="2:7" ht="15" thickBot="1" x14ac:dyDescent="0.4">
      <c r="B892" s="172">
        <v>3089.4</v>
      </c>
      <c r="D892" s="43">
        <v>19230.599999999999</v>
      </c>
      <c r="E892" s="16">
        <f t="shared" si="26"/>
        <v>-2.4471881019293318E-2</v>
      </c>
      <c r="F892" s="16">
        <f t="shared" si="27"/>
        <v>-9.3319767666490971E-3</v>
      </c>
      <c r="G892" s="16"/>
    </row>
    <row r="893" spans="2:7" ht="15" thickBot="1" x14ac:dyDescent="0.4">
      <c r="B893" s="172">
        <v>3166.9</v>
      </c>
      <c r="D893" s="43">
        <v>19411.75</v>
      </c>
      <c r="E893" s="16">
        <f t="shared" si="26"/>
        <v>1.1708330005590684E-2</v>
      </c>
      <c r="F893" s="16">
        <f t="shared" si="27"/>
        <v>2.6021940876086447E-4</v>
      </c>
      <c r="G893" s="16"/>
    </row>
    <row r="894" spans="2:7" ht="15" thickBot="1" x14ac:dyDescent="0.4">
      <c r="B894" s="172">
        <v>3130.25</v>
      </c>
      <c r="D894" s="43">
        <v>19406.7</v>
      </c>
      <c r="E894" s="16">
        <f t="shared" si="26"/>
        <v>-5.9065802496727215E-4</v>
      </c>
      <c r="F894" s="16">
        <f t="shared" si="27"/>
        <v>-1.8926633579344765E-3</v>
      </c>
      <c r="G894" s="16"/>
    </row>
    <row r="895" spans="2:7" ht="15" thickBot="1" x14ac:dyDescent="0.4">
      <c r="B895" s="172">
        <v>3132.1</v>
      </c>
      <c r="D895" s="43">
        <v>19443.5</v>
      </c>
      <c r="E895" s="16">
        <f t="shared" si="26"/>
        <v>-1.3169917136645837E-2</v>
      </c>
      <c r="F895" s="16">
        <f t="shared" si="27"/>
        <v>2.4851381520265559E-3</v>
      </c>
      <c r="G895" s="16"/>
    </row>
    <row r="896" spans="2:7" ht="15" thickBot="1" x14ac:dyDescent="0.4">
      <c r="B896" s="172">
        <v>3173.9</v>
      </c>
      <c r="D896" s="43">
        <v>19395.3</v>
      </c>
      <c r="E896" s="16">
        <f t="shared" si="26"/>
        <v>2.2124178796856908E-2</v>
      </c>
      <c r="F896" s="16">
        <f t="shared" si="27"/>
        <v>-1.5469476740443966E-3</v>
      </c>
      <c r="G896" s="16"/>
    </row>
    <row r="897" spans="2:7" ht="15" thickBot="1" x14ac:dyDescent="0.4">
      <c r="B897" s="172">
        <v>3105.2</v>
      </c>
      <c r="D897" s="43">
        <v>19425.349999999999</v>
      </c>
      <c r="E897" s="16">
        <f t="shared" si="26"/>
        <v>-4.360651532640869E-3</v>
      </c>
      <c r="F897" s="16">
        <f t="shared" si="27"/>
        <v>-9.3604305798067333E-4</v>
      </c>
      <c r="G897" s="16"/>
    </row>
    <row r="898" spans="2:7" ht="15" thickBot="1" x14ac:dyDescent="0.4">
      <c r="B898" s="172">
        <v>3118.8</v>
      </c>
      <c r="D898" s="43">
        <v>19443.55</v>
      </c>
      <c r="E898" s="16">
        <f t="shared" si="26"/>
        <v>-1.8581745519769544E-2</v>
      </c>
      <c r="F898" s="16">
        <f t="shared" si="27"/>
        <v>-1.1786261559456168E-2</v>
      </c>
      <c r="G898" s="16"/>
    </row>
    <row r="899" spans="2:7" ht="15" thickBot="1" x14ac:dyDescent="0.4">
      <c r="B899" s="172">
        <v>3177.85</v>
      </c>
      <c r="D899" s="43">
        <v>19675.45</v>
      </c>
      <c r="E899" s="16">
        <f t="shared" si="26"/>
        <v>-3.1158061614914523E-2</v>
      </c>
      <c r="F899" s="16">
        <f t="shared" si="27"/>
        <v>-4.5408090988201533E-3</v>
      </c>
      <c r="G899" s="16"/>
    </row>
    <row r="900" spans="2:7" ht="15" thickBot="1" x14ac:dyDescent="0.4">
      <c r="B900" s="172">
        <v>3280.05</v>
      </c>
      <c r="D900" s="43">
        <v>19765.2</v>
      </c>
      <c r="E900" s="16">
        <f t="shared" ref="E900:E963" si="28">B900/B901-1</f>
        <v>-1.6403028712796974E-2</v>
      </c>
      <c r="F900" s="16">
        <f t="shared" ref="F900:F963" si="29">D900/D901-1</f>
        <v>1.6926990948622489E-3</v>
      </c>
      <c r="G900" s="16"/>
    </row>
    <row r="901" spans="2:7" ht="15" thickBot="1" x14ac:dyDescent="0.4">
      <c r="B901" s="172">
        <v>3334.75</v>
      </c>
      <c r="D901" s="43">
        <v>19731.8</v>
      </c>
      <c r="E901" s="16">
        <f t="shared" si="28"/>
        <v>-3.466463460187974E-3</v>
      </c>
      <c r="F901" s="16">
        <f t="shared" si="29"/>
        <v>1.9193663044581033E-3</v>
      </c>
      <c r="G901" s="16"/>
    </row>
    <row r="902" spans="2:7" ht="15" thickBot="1" x14ac:dyDescent="0.4">
      <c r="B902" s="172">
        <v>3346.35</v>
      </c>
      <c r="D902" s="43">
        <v>19694</v>
      </c>
      <c r="E902" s="16">
        <f t="shared" si="28"/>
        <v>-8.9293647267880694E-3</v>
      </c>
      <c r="F902" s="16">
        <f t="shared" si="29"/>
        <v>-4.5189401215161018E-3</v>
      </c>
      <c r="G902" s="16"/>
    </row>
    <row r="903" spans="2:7" ht="15" thickBot="1" x14ac:dyDescent="0.4">
      <c r="B903" s="172">
        <v>3376.5</v>
      </c>
      <c r="D903" s="43">
        <v>19783.400000000001</v>
      </c>
      <c r="E903" s="16">
        <f t="shared" si="28"/>
        <v>-1.0868291539723463E-2</v>
      </c>
      <c r="F903" s="16">
        <f t="shared" si="29"/>
        <v>-1.4360092570858685E-3</v>
      </c>
      <c r="G903" s="16"/>
    </row>
    <row r="904" spans="2:7" ht="15" thickBot="1" x14ac:dyDescent="0.4">
      <c r="B904" s="172">
        <v>3413.6</v>
      </c>
      <c r="D904" s="43">
        <v>19811.849999999999</v>
      </c>
      <c r="E904" s="16">
        <f t="shared" si="28"/>
        <v>-4.3273542600896886E-2</v>
      </c>
      <c r="F904" s="16">
        <f t="shared" si="29"/>
        <v>4.974245025755053E-4</v>
      </c>
      <c r="G904" s="16"/>
    </row>
    <row r="905" spans="2:7" ht="15" thickBot="1" x14ac:dyDescent="0.4">
      <c r="B905" s="172">
        <v>3568</v>
      </c>
      <c r="D905" s="43">
        <v>19802</v>
      </c>
      <c r="E905" s="16">
        <f t="shared" si="28"/>
        <v>5.4669447105901714E-3</v>
      </c>
      <c r="F905" s="16">
        <f t="shared" si="29"/>
        <v>3.6878558401998163E-4</v>
      </c>
      <c r="G905" s="16"/>
    </row>
    <row r="906" spans="2:7" ht="15" thickBot="1" x14ac:dyDescent="0.4">
      <c r="B906" s="172">
        <v>3548.6</v>
      </c>
      <c r="D906" s="43">
        <v>19794.7</v>
      </c>
      <c r="E906" s="16">
        <f t="shared" si="28"/>
        <v>-2.0265046935394881E-2</v>
      </c>
      <c r="F906" s="16">
        <f t="shared" si="29"/>
        <v>-4.7763415235021478E-3</v>
      </c>
      <c r="G906" s="16"/>
    </row>
    <row r="907" spans="2:7" ht="15" thickBot="1" x14ac:dyDescent="0.4">
      <c r="B907" s="172">
        <v>3622</v>
      </c>
      <c r="D907" s="43">
        <v>19889.7</v>
      </c>
      <c r="E907" s="16">
        <f t="shared" si="28"/>
        <v>-3.3334222957644988E-2</v>
      </c>
      <c r="F907" s="16">
        <f t="shared" si="29"/>
        <v>-1.0295273827413465E-2</v>
      </c>
      <c r="G907" s="16"/>
    </row>
    <row r="908" spans="2:7" ht="15" thickBot="1" x14ac:dyDescent="0.4">
      <c r="B908" s="172">
        <v>3746.9</v>
      </c>
      <c r="D908" s="43">
        <v>20096.599999999999</v>
      </c>
      <c r="E908" s="16">
        <f t="shared" si="28"/>
        <v>-1.8892132860266364E-2</v>
      </c>
      <c r="F908" s="16">
        <f t="shared" si="29"/>
        <v>-1.8154138820801746E-3</v>
      </c>
      <c r="G908" s="16"/>
    </row>
    <row r="909" spans="2:7" ht="15" thickBot="1" x14ac:dyDescent="0.4">
      <c r="B909" s="172">
        <v>3819.05</v>
      </c>
      <c r="D909" s="43">
        <v>20133.150000000001</v>
      </c>
      <c r="E909" s="16">
        <f t="shared" si="28"/>
        <v>1.5704787234042561E-2</v>
      </c>
      <c r="F909" s="16">
        <f t="shared" si="29"/>
        <v>-6.6484440913957554E-3</v>
      </c>
      <c r="G909" s="16"/>
    </row>
    <row r="910" spans="2:7" ht="15" thickBot="1" x14ac:dyDescent="0.4">
      <c r="B910" s="172">
        <v>3760</v>
      </c>
      <c r="D910" s="43">
        <v>20267.900000000001</v>
      </c>
      <c r="E910" s="16">
        <f t="shared" si="28"/>
        <v>-9.7706144162650332E-3</v>
      </c>
      <c r="F910" s="16">
        <f t="shared" si="29"/>
        <v>-2.024962778196715E-2</v>
      </c>
      <c r="G910" s="16"/>
    </row>
    <row r="911" spans="2:7" ht="15" thickBot="1" x14ac:dyDescent="0.4">
      <c r="B911" s="172">
        <v>3797.1</v>
      </c>
      <c r="D911" s="43">
        <v>20686.8</v>
      </c>
      <c r="E911" s="16">
        <f t="shared" si="28"/>
        <v>-2.5349707755960571E-3</v>
      </c>
      <c r="F911" s="16">
        <f t="shared" si="29"/>
        <v>-8.069968496914437E-3</v>
      </c>
      <c r="G911" s="16"/>
    </row>
    <row r="912" spans="2:7" ht="15" thickBot="1" x14ac:dyDescent="0.4">
      <c r="B912" s="172">
        <v>3806.75</v>
      </c>
      <c r="D912" s="43">
        <v>20855.099999999999</v>
      </c>
      <c r="E912" s="16">
        <f t="shared" si="28"/>
        <v>1.2150862126267814E-2</v>
      </c>
      <c r="F912" s="16">
        <f t="shared" si="29"/>
        <v>-3.9450369429308019E-3</v>
      </c>
      <c r="G912" s="16"/>
    </row>
    <row r="913" spans="2:7" ht="15" thickBot="1" x14ac:dyDescent="0.4">
      <c r="B913" s="172">
        <v>3761.05</v>
      </c>
      <c r="D913" s="43">
        <v>20937.7</v>
      </c>
      <c r="E913" s="16">
        <f t="shared" si="28"/>
        <v>-3.0747617722290954E-3</v>
      </c>
      <c r="F913" s="16">
        <f t="shared" si="29"/>
        <v>1.7487076069977459E-3</v>
      </c>
      <c r="G913" s="16"/>
    </row>
    <row r="914" spans="2:7" ht="15" thickBot="1" x14ac:dyDescent="0.4">
      <c r="B914" s="172">
        <v>3772.65</v>
      </c>
      <c r="D914" s="43">
        <v>20901.150000000001</v>
      </c>
      <c r="E914" s="16">
        <f t="shared" si="28"/>
        <v>1.5313193837044992E-2</v>
      </c>
      <c r="F914" s="16">
        <f t="shared" si="29"/>
        <v>-3.2547426249678324E-3</v>
      </c>
      <c r="G914" s="16"/>
    </row>
    <row r="915" spans="2:7" ht="15" thickBot="1" x14ac:dyDescent="0.4">
      <c r="B915" s="172">
        <v>3715.75</v>
      </c>
      <c r="D915" s="43">
        <v>20969.400000000001</v>
      </c>
      <c r="E915" s="16">
        <f t="shared" si="28"/>
        <v>2.9962344620948489E-3</v>
      </c>
      <c r="F915" s="16">
        <f t="shared" si="29"/>
        <v>-1.3192297984006007E-3</v>
      </c>
      <c r="G915" s="16"/>
    </row>
    <row r="916" spans="2:7" ht="15" thickBot="1" x14ac:dyDescent="0.4">
      <c r="B916" s="172">
        <v>3704.65</v>
      </c>
      <c r="D916" s="43">
        <v>20997.1</v>
      </c>
      <c r="E916" s="16">
        <f t="shared" si="28"/>
        <v>-1.1341953217778866E-2</v>
      </c>
      <c r="F916" s="16">
        <f t="shared" si="29"/>
        <v>4.3383844181683617E-3</v>
      </c>
      <c r="G916" s="16"/>
    </row>
    <row r="917" spans="2:7" ht="15" thickBot="1" x14ac:dyDescent="0.4">
      <c r="B917" s="172">
        <v>3747.15</v>
      </c>
      <c r="D917" s="43">
        <v>20906.400000000001</v>
      </c>
      <c r="E917" s="16">
        <f t="shared" si="28"/>
        <v>-3.0064970362125631E-2</v>
      </c>
      <c r="F917" s="16">
        <f t="shared" si="29"/>
        <v>-9.5334351188802735E-4</v>
      </c>
      <c r="G917" s="16"/>
    </row>
    <row r="918" spans="2:7" ht="15" thickBot="1" x14ac:dyDescent="0.4">
      <c r="B918" s="172">
        <v>3863.3</v>
      </c>
      <c r="D918" s="43">
        <v>20926.349999999999</v>
      </c>
      <c r="E918" s="16">
        <f t="shared" si="28"/>
        <v>-5.2399160583471716E-3</v>
      </c>
      <c r="F918" s="16">
        <f t="shared" si="29"/>
        <v>-1.2101856703819691E-2</v>
      </c>
      <c r="G918" s="16"/>
    </row>
    <row r="919" spans="2:7" ht="15" thickBot="1" x14ac:dyDescent="0.4">
      <c r="B919" s="172">
        <v>3883.65</v>
      </c>
      <c r="D919" s="43">
        <v>21182.7</v>
      </c>
      <c r="E919" s="16">
        <f t="shared" si="28"/>
        <v>-3.3106209339031079E-3</v>
      </c>
      <c r="F919" s="16">
        <f t="shared" si="29"/>
        <v>-1.2767603516858461E-2</v>
      </c>
      <c r="G919" s="16"/>
    </row>
    <row r="920" spans="2:7" ht="15" thickBot="1" x14ac:dyDescent="0.4">
      <c r="B920" s="172">
        <v>3896.55</v>
      </c>
      <c r="D920" s="43">
        <v>21456.65</v>
      </c>
      <c r="E920" s="16">
        <f t="shared" si="28"/>
        <v>1.7481843306126343E-3</v>
      </c>
      <c r="F920" s="16">
        <f t="shared" si="29"/>
        <v>1.7741547669904989E-3</v>
      </c>
      <c r="G920" s="16"/>
    </row>
    <row r="921" spans="2:7" ht="15" thickBot="1" x14ac:dyDescent="0.4">
      <c r="B921" s="172">
        <v>3889.75</v>
      </c>
      <c r="D921" s="43">
        <v>21418.65</v>
      </c>
      <c r="E921" s="16">
        <f t="shared" si="28"/>
        <v>1.7766265028716477E-2</v>
      </c>
      <c r="F921" s="16">
        <f t="shared" si="29"/>
        <v>-1.6058285282778417E-3</v>
      </c>
      <c r="G921" s="16"/>
    </row>
    <row r="922" spans="2:7" ht="15" thickBot="1" x14ac:dyDescent="0.4">
      <c r="B922" s="172">
        <v>3821.85</v>
      </c>
      <c r="D922" s="43">
        <v>21453.1</v>
      </c>
      <c r="E922" s="16">
        <f t="shared" si="28"/>
        <v>1.6642641855588725E-3</v>
      </c>
      <c r="F922" s="16">
        <f t="shared" si="29"/>
        <v>1.4323775481497547E-2</v>
      </c>
      <c r="G922" s="16"/>
    </row>
    <row r="923" spans="2:7" ht="15" thickBot="1" x14ac:dyDescent="0.4">
      <c r="B923" s="172">
        <v>3815.5</v>
      </c>
      <c r="D923" s="43">
        <v>21150.15</v>
      </c>
      <c r="E923" s="16">
        <f t="shared" si="28"/>
        <v>-8.9996493643105246E-3</v>
      </c>
      <c r="F923" s="16">
        <f t="shared" si="29"/>
        <v>-4.9352977292453915E-3</v>
      </c>
      <c r="G923" s="16"/>
    </row>
    <row r="924" spans="2:7" ht="15" thickBot="1" x14ac:dyDescent="0.4">
      <c r="B924" s="172">
        <v>3850.15</v>
      </c>
      <c r="D924" s="43">
        <v>21255.05</v>
      </c>
      <c r="E924" s="16">
        <f t="shared" si="28"/>
        <v>-2.1736921005157894E-2</v>
      </c>
      <c r="F924" s="16">
        <f t="shared" si="29"/>
        <v>-4.4193279436425259E-3</v>
      </c>
      <c r="G924" s="16"/>
    </row>
    <row r="925" spans="2:7" ht="15" thickBot="1" x14ac:dyDescent="0.4">
      <c r="B925" s="172">
        <v>3935.7</v>
      </c>
      <c r="D925" s="43">
        <v>21349.4</v>
      </c>
      <c r="E925" s="16">
        <f t="shared" si="28"/>
        <v>-3.2391301675496975E-2</v>
      </c>
      <c r="F925" s="16">
        <f t="shared" si="29"/>
        <v>-4.2884426586944357E-3</v>
      </c>
      <c r="G925" s="16"/>
    </row>
    <row r="926" spans="2:7" ht="15" thickBot="1" x14ac:dyDescent="0.4">
      <c r="B926" s="172">
        <v>4067.45</v>
      </c>
      <c r="D926" s="43">
        <v>21441.35</v>
      </c>
      <c r="E926" s="16">
        <f t="shared" si="28"/>
        <v>7.7504121250893121E-4</v>
      </c>
      <c r="F926" s="16">
        <f t="shared" si="29"/>
        <v>-9.8546508271858402E-3</v>
      </c>
      <c r="G926" s="16"/>
    </row>
    <row r="927" spans="2:7" ht="15" thickBot="1" x14ac:dyDescent="0.4">
      <c r="B927" s="172">
        <v>4064.3</v>
      </c>
      <c r="D927" s="43">
        <v>21654.75</v>
      </c>
      <c r="E927" s="16">
        <f t="shared" si="28"/>
        <v>-2.6106751332893974E-2</v>
      </c>
      <c r="F927" s="16">
        <f t="shared" si="29"/>
        <v>-5.6913406218002116E-3</v>
      </c>
      <c r="G927" s="16"/>
    </row>
    <row r="928" spans="2:7" ht="15" thickBot="1" x14ac:dyDescent="0.4">
      <c r="B928" s="172">
        <v>4173.25</v>
      </c>
      <c r="D928" s="43">
        <v>21778.7</v>
      </c>
      <c r="E928" s="16">
        <f t="shared" si="28"/>
        <v>8.1409815076518566E-3</v>
      </c>
      <c r="F928" s="16">
        <f t="shared" si="29"/>
        <v>2.1765739897106062E-3</v>
      </c>
      <c r="G928" s="16"/>
    </row>
    <row r="929" spans="2:7" ht="15" thickBot="1" x14ac:dyDescent="0.4">
      <c r="B929" s="172">
        <v>4139.55</v>
      </c>
      <c r="D929" s="43">
        <v>21731.4</v>
      </c>
      <c r="E929" s="16">
        <f t="shared" si="28"/>
        <v>5.0988818880430831E-3</v>
      </c>
      <c r="F929" s="16">
        <f t="shared" si="29"/>
        <v>-4.8293847363845011E-4</v>
      </c>
      <c r="G929" s="16"/>
    </row>
    <row r="930" spans="2:7" ht="15" thickBot="1" x14ac:dyDescent="0.4">
      <c r="B930" s="172">
        <v>4118.55</v>
      </c>
      <c r="D930" s="43">
        <v>21741.9</v>
      </c>
      <c r="E930" s="16">
        <f t="shared" si="28"/>
        <v>7.4238050975981018E-3</v>
      </c>
      <c r="F930" s="16">
        <f t="shared" si="29"/>
        <v>3.5124481902353288E-3</v>
      </c>
      <c r="G930" s="16"/>
    </row>
    <row r="931" spans="2:7" ht="15" thickBot="1" x14ac:dyDescent="0.4">
      <c r="B931" s="172">
        <v>4088.2</v>
      </c>
      <c r="D931" s="43">
        <v>21665.8</v>
      </c>
      <c r="E931" s="16">
        <f t="shared" si="28"/>
        <v>2.4650049500607674E-2</v>
      </c>
      <c r="F931" s="16">
        <f t="shared" si="29"/>
        <v>6.8990837626381474E-3</v>
      </c>
      <c r="G931" s="16"/>
    </row>
    <row r="932" spans="2:7" ht="15" thickBot="1" x14ac:dyDescent="0.4">
      <c r="B932" s="172">
        <v>3989.85</v>
      </c>
      <c r="D932" s="43">
        <v>21517.35</v>
      </c>
      <c r="E932" s="16">
        <f t="shared" si="28"/>
        <v>1.0869152130125848E-2</v>
      </c>
      <c r="F932" s="16">
        <f t="shared" si="29"/>
        <v>-6.5216588329809477E-3</v>
      </c>
      <c r="G932" s="16"/>
    </row>
    <row r="933" spans="2:7" ht="15" thickBot="1" x14ac:dyDescent="0.4">
      <c r="B933" s="172">
        <v>3946.95</v>
      </c>
      <c r="D933" s="43">
        <v>21658.6</v>
      </c>
      <c r="E933" s="16">
        <f t="shared" si="28"/>
        <v>-1.086384482369751E-2</v>
      </c>
      <c r="F933" s="16">
        <f t="shared" si="29"/>
        <v>-2.404333327192032E-3</v>
      </c>
      <c r="G933" s="16"/>
    </row>
    <row r="934" spans="2:7" ht="15" thickBot="1" x14ac:dyDescent="0.4">
      <c r="B934" s="172">
        <v>3990.3</v>
      </c>
      <c r="D934" s="43">
        <v>21710.799999999999</v>
      </c>
      <c r="E934" s="16">
        <f t="shared" si="28"/>
        <v>-4.7886270108491447E-3</v>
      </c>
      <c r="F934" s="16">
        <f t="shared" si="29"/>
        <v>9.1944405708175303E-3</v>
      </c>
      <c r="G934" s="16"/>
    </row>
    <row r="935" spans="2:7" ht="15" thickBot="1" x14ac:dyDescent="0.4">
      <c r="B935" s="172">
        <v>4009.5</v>
      </c>
      <c r="D935" s="43">
        <v>21513</v>
      </c>
      <c r="E935" s="16">
        <f t="shared" si="28"/>
        <v>-2.5045592705167152E-2</v>
      </c>
      <c r="F935" s="16">
        <f t="shared" si="29"/>
        <v>-1.478311522243092E-3</v>
      </c>
      <c r="G935" s="16"/>
    </row>
    <row r="936" spans="2:7" ht="15" thickBot="1" x14ac:dyDescent="0.4">
      <c r="B936" s="172">
        <v>4112.5</v>
      </c>
      <c r="D936" s="43">
        <v>21544.85</v>
      </c>
      <c r="E936" s="16">
        <f t="shared" si="28"/>
        <v>-6.1744058191660622E-3</v>
      </c>
      <c r="F936" s="16">
        <f t="shared" si="29"/>
        <v>-3.4160240902553207E-3</v>
      </c>
      <c r="G936" s="16"/>
    </row>
    <row r="937" spans="2:7" ht="15" thickBot="1" x14ac:dyDescent="0.4">
      <c r="B937" s="172">
        <v>4138.05</v>
      </c>
      <c r="D937" s="43">
        <v>21618.7</v>
      </c>
      <c r="E937" s="16">
        <f t="shared" si="28"/>
        <v>-4.7015337847174155E-2</v>
      </c>
      <c r="F937" s="16">
        <f t="shared" si="29"/>
        <v>-1.3165675006466815E-3</v>
      </c>
      <c r="G937" s="16"/>
    </row>
    <row r="938" spans="2:7" ht="15" thickBot="1" x14ac:dyDescent="0.4">
      <c r="B938" s="172">
        <v>4342.2</v>
      </c>
      <c r="D938" s="43">
        <v>21647.200000000001</v>
      </c>
      <c r="E938" s="16">
        <f t="shared" si="28"/>
        <v>-9.3425960781629014E-3</v>
      </c>
      <c r="F938" s="16">
        <f t="shared" si="29"/>
        <v>-1.1297331984443604E-2</v>
      </c>
      <c r="G938" s="16"/>
    </row>
    <row r="939" spans="2:7" ht="15" thickBot="1" x14ac:dyDescent="0.4">
      <c r="B939" s="172">
        <v>4383.1499999999996</v>
      </c>
      <c r="D939" s="43">
        <v>21894.55</v>
      </c>
      <c r="E939" s="16">
        <f t="shared" si="28"/>
        <v>2.4586039703595741E-3</v>
      </c>
      <c r="F939" s="16">
        <f t="shared" si="29"/>
        <v>-9.1820549429911802E-3</v>
      </c>
      <c r="G939" s="16"/>
    </row>
    <row r="940" spans="2:7" ht="15" thickBot="1" x14ac:dyDescent="0.4">
      <c r="B940" s="172">
        <v>4372.3999999999996</v>
      </c>
      <c r="D940" s="43">
        <v>22097.45</v>
      </c>
      <c r="E940" s="16">
        <f t="shared" si="28"/>
        <v>-2.7938375925102843E-3</v>
      </c>
      <c r="F940" s="16">
        <f t="shared" si="29"/>
        <v>2.9570221901482618E-3</v>
      </c>
      <c r="G940" s="16"/>
    </row>
    <row r="941" spans="2:7" ht="15" thickBot="1" x14ac:dyDescent="0.4">
      <c r="B941" s="172">
        <v>4384.6499999999996</v>
      </c>
      <c r="D941" s="43">
        <v>22032.3</v>
      </c>
      <c r="E941" s="16">
        <f t="shared" si="28"/>
        <v>3.1572806204740456E-3</v>
      </c>
      <c r="F941" s="16">
        <f t="shared" si="29"/>
        <v>2.1340212637244171E-2</v>
      </c>
      <c r="G941" s="16"/>
    </row>
    <row r="942" spans="2:7" ht="15" thickBot="1" x14ac:dyDescent="0.4">
      <c r="B942" s="172">
        <v>4370.8500000000004</v>
      </c>
      <c r="D942" s="43">
        <v>21571.95</v>
      </c>
      <c r="E942" s="16">
        <f t="shared" si="28"/>
        <v>-5.2685480200271861E-3</v>
      </c>
      <c r="F942" s="16">
        <f t="shared" si="29"/>
        <v>5.1113000733846725E-3</v>
      </c>
      <c r="G942" s="16"/>
    </row>
    <row r="943" spans="2:7" ht="15" thickBot="1" x14ac:dyDescent="0.4">
      <c r="B943" s="172">
        <v>4394</v>
      </c>
      <c r="D943" s="43">
        <v>21462.25</v>
      </c>
      <c r="E943" s="16">
        <f t="shared" si="28"/>
        <v>-1.3068924370702728E-3</v>
      </c>
      <c r="F943" s="16">
        <f t="shared" si="29"/>
        <v>-7.4066708598491404E-3</v>
      </c>
      <c r="G943" s="16"/>
    </row>
    <row r="944" spans="2:7" ht="15" thickBot="1" x14ac:dyDescent="0.4">
      <c r="B944" s="172">
        <v>4399.75</v>
      </c>
      <c r="D944" s="43">
        <v>21622.400000000001</v>
      </c>
      <c r="E944" s="16">
        <f t="shared" si="28"/>
        <v>-1.000180009900542E-2</v>
      </c>
      <c r="F944" s="16">
        <f t="shared" si="29"/>
        <v>1.8061284065013172E-2</v>
      </c>
      <c r="G944" s="16"/>
    </row>
    <row r="945" spans="2:7" ht="15" thickBot="1" x14ac:dyDescent="0.4">
      <c r="B945" s="172">
        <v>4444.2</v>
      </c>
      <c r="D945" s="43">
        <v>21238.799999999999</v>
      </c>
      <c r="E945" s="16">
        <f t="shared" si="28"/>
        <v>2.3795292817430092E-3</v>
      </c>
      <c r="F945" s="16">
        <f t="shared" si="29"/>
        <v>-1.0028456298257549E-2</v>
      </c>
      <c r="G945" s="16"/>
    </row>
    <row r="946" spans="2:7" ht="15" thickBot="1" x14ac:dyDescent="0.4">
      <c r="B946" s="172">
        <v>4433.6499999999996</v>
      </c>
      <c r="D946" s="43">
        <v>21453.95</v>
      </c>
      <c r="E946" s="16">
        <f t="shared" si="28"/>
        <v>-1.9134878380964171E-3</v>
      </c>
      <c r="F946" s="16">
        <f t="shared" si="29"/>
        <v>4.7464945720896434E-3</v>
      </c>
      <c r="G946" s="16"/>
    </row>
    <row r="947" spans="2:7" ht="15" thickBot="1" x14ac:dyDescent="0.4">
      <c r="B947" s="172">
        <v>4442.1499999999996</v>
      </c>
      <c r="D947" s="43">
        <v>21352.6</v>
      </c>
      <c r="E947" s="16">
        <f t="shared" si="28"/>
        <v>-3.2948731903777118E-2</v>
      </c>
      <c r="F947" s="16">
        <f t="shared" si="29"/>
        <v>-1.7711246871779829E-2</v>
      </c>
      <c r="G947" s="16"/>
    </row>
    <row r="948" spans="2:7" ht="15" thickBot="1" x14ac:dyDescent="0.4">
      <c r="B948" s="172">
        <v>4593.5</v>
      </c>
      <c r="D948" s="43">
        <v>21737.599999999999</v>
      </c>
      <c r="E948" s="16">
        <f t="shared" si="28"/>
        <v>1.122407837239825E-3</v>
      </c>
      <c r="F948" s="16">
        <f t="shared" si="29"/>
        <v>1.0012963418997156E-2</v>
      </c>
      <c r="G948" s="16"/>
    </row>
    <row r="949" spans="2:7" ht="15" thickBot="1" x14ac:dyDescent="0.4">
      <c r="B949" s="172">
        <v>4588.3500000000004</v>
      </c>
      <c r="D949" s="43">
        <v>21522.1</v>
      </c>
      <c r="E949" s="16">
        <f t="shared" si="28"/>
        <v>-7.1837370579134197E-3</v>
      </c>
      <c r="F949" s="16">
        <f t="shared" si="29"/>
        <v>-9.3713896445224432E-3</v>
      </c>
      <c r="G949" s="16"/>
    </row>
    <row r="950" spans="2:7" ht="15" thickBot="1" x14ac:dyDescent="0.4">
      <c r="B950" s="172">
        <v>4621.55</v>
      </c>
      <c r="D950" s="43">
        <v>21725.7</v>
      </c>
      <c r="E950" s="16">
        <f t="shared" si="28"/>
        <v>7.5980552466916595E-3</v>
      </c>
      <c r="F950" s="16">
        <f t="shared" si="29"/>
        <v>1.3019963175395777E-3</v>
      </c>
      <c r="G950" s="16"/>
    </row>
    <row r="951" spans="2:7" ht="15" thickBot="1" x14ac:dyDescent="0.4">
      <c r="B951" s="172">
        <v>4586.7</v>
      </c>
      <c r="D951" s="43">
        <v>21697.45</v>
      </c>
      <c r="E951" s="16">
        <f t="shared" si="28"/>
        <v>-2.768532847179539E-2</v>
      </c>
      <c r="F951" s="16">
        <f t="shared" si="29"/>
        <v>-7.1543621704234228E-3</v>
      </c>
      <c r="G951" s="16"/>
    </row>
    <row r="952" spans="2:7" ht="15" thickBot="1" x14ac:dyDescent="0.4">
      <c r="B952" s="172">
        <v>4717.3</v>
      </c>
      <c r="D952" s="43">
        <v>21853.8</v>
      </c>
      <c r="E952" s="16">
        <f t="shared" si="28"/>
        <v>-6.1833082279080243E-3</v>
      </c>
      <c r="F952" s="16">
        <f t="shared" si="29"/>
        <v>3.7709503621672358E-3</v>
      </c>
      <c r="G952" s="16"/>
    </row>
    <row r="953" spans="2:7" ht="15" thickBot="1" x14ac:dyDescent="0.4">
      <c r="B953" s="172">
        <v>4746.6499999999996</v>
      </c>
      <c r="D953" s="43">
        <v>21771.7</v>
      </c>
      <c r="E953" s="16">
        <f t="shared" si="28"/>
        <v>-7.6931921521078417E-3</v>
      </c>
      <c r="F953" s="16">
        <f t="shared" si="29"/>
        <v>-7.1912592227786343E-3</v>
      </c>
      <c r="G953" s="16"/>
    </row>
    <row r="954" spans="2:7" ht="15" thickBot="1" x14ac:dyDescent="0.4">
      <c r="B954" s="172">
        <v>4783.45</v>
      </c>
      <c r="D954" s="43">
        <v>21929.4</v>
      </c>
      <c r="E954" s="16">
        <f t="shared" si="28"/>
        <v>-2.065361386087039E-3</v>
      </c>
      <c r="F954" s="16">
        <f t="shared" si="29"/>
        <v>-5.0158455119464485E-5</v>
      </c>
      <c r="G954" s="16"/>
    </row>
    <row r="955" spans="2:7" ht="15" thickBot="1" x14ac:dyDescent="0.4">
      <c r="B955" s="172">
        <v>4793.3500000000004</v>
      </c>
      <c r="D955" s="43">
        <v>21930.5</v>
      </c>
      <c r="E955" s="16">
        <f t="shared" si="28"/>
        <v>-3.0262692651675804E-3</v>
      </c>
      <c r="F955" s="16">
        <f t="shared" si="29"/>
        <v>9.7868353136461028E-3</v>
      </c>
      <c r="G955" s="16"/>
    </row>
    <row r="956" spans="2:7" ht="15" thickBot="1" x14ac:dyDescent="0.4">
      <c r="B956" s="172">
        <v>4807.8999999999996</v>
      </c>
      <c r="D956" s="43">
        <v>21717.95</v>
      </c>
      <c r="E956" s="16">
        <f t="shared" si="28"/>
        <v>-2.0564898092221284E-2</v>
      </c>
      <c r="F956" s="16">
        <f t="shared" si="29"/>
        <v>-2.9633880408584945E-3</v>
      </c>
      <c r="G956" s="16"/>
    </row>
    <row r="957" spans="2:7" ht="15" thickBot="1" x14ac:dyDescent="0.4">
      <c r="B957" s="172">
        <v>4908.8500000000004</v>
      </c>
      <c r="D957" s="43">
        <v>21782.5</v>
      </c>
      <c r="E957" s="16">
        <f t="shared" si="28"/>
        <v>4.7221333333333337E-2</v>
      </c>
      <c r="F957" s="16">
        <f t="shared" si="29"/>
        <v>7.7002967702239911E-3</v>
      </c>
      <c r="G957" s="16"/>
    </row>
    <row r="958" spans="2:7" ht="15" thickBot="1" x14ac:dyDescent="0.4">
      <c r="B958" s="172">
        <v>4687.5</v>
      </c>
      <c r="D958" s="43">
        <v>21616.05</v>
      </c>
      <c r="E958" s="16">
        <f t="shared" si="28"/>
        <v>-1.207637835103692E-2</v>
      </c>
      <c r="F958" s="16">
        <f t="shared" si="29"/>
        <v>-5.8500914076782262E-3</v>
      </c>
      <c r="G958" s="16"/>
    </row>
    <row r="959" spans="2:7" ht="15" thickBot="1" x14ac:dyDescent="0.4">
      <c r="B959" s="172">
        <v>4744.8</v>
      </c>
      <c r="D959" s="43">
        <v>21743.25</v>
      </c>
      <c r="E959" s="16">
        <f t="shared" si="28"/>
        <v>-1.4384977306010516E-2</v>
      </c>
      <c r="F959" s="16">
        <f t="shared" si="29"/>
        <v>-4.4322242852007365E-3</v>
      </c>
      <c r="G959" s="16"/>
    </row>
    <row r="960" spans="2:7" ht="15" thickBot="1" x14ac:dyDescent="0.4">
      <c r="B960" s="172">
        <v>4814.05</v>
      </c>
      <c r="D960" s="43">
        <v>21840.05</v>
      </c>
      <c r="E960" s="16">
        <f t="shared" si="28"/>
        <v>-6.0204071040792506E-4</v>
      </c>
      <c r="F960" s="16">
        <f t="shared" si="29"/>
        <v>-3.2267266068026768E-3</v>
      </c>
      <c r="G960" s="16"/>
    </row>
    <row r="961" spans="2:7" ht="15" thickBot="1" x14ac:dyDescent="0.4">
      <c r="B961" s="172">
        <v>4816.95</v>
      </c>
      <c r="D961" s="43">
        <v>21910.75</v>
      </c>
      <c r="E961" s="16">
        <f t="shared" si="28"/>
        <v>-1.5804098645363029E-2</v>
      </c>
      <c r="F961" s="16">
        <f t="shared" si="29"/>
        <v>-5.8959107469364058E-3</v>
      </c>
      <c r="G961" s="16"/>
    </row>
    <row r="962" spans="2:7" ht="15" thickBot="1" x14ac:dyDescent="0.4">
      <c r="B962" s="172">
        <v>4894.3</v>
      </c>
      <c r="D962" s="43">
        <v>22040.7</v>
      </c>
      <c r="E962" s="16">
        <f t="shared" si="28"/>
        <v>8.5933314099657654E-3</v>
      </c>
      <c r="F962" s="16">
        <f t="shared" si="29"/>
        <v>-3.6863338946083735E-3</v>
      </c>
      <c r="G962" s="16"/>
    </row>
    <row r="963" spans="2:7" ht="15" thickBot="1" x14ac:dyDescent="0.4">
      <c r="B963" s="172">
        <v>4852.6000000000004</v>
      </c>
      <c r="D963" s="43">
        <v>22122.25</v>
      </c>
      <c r="E963" s="16">
        <f t="shared" si="28"/>
        <v>4.0582413929900252E-2</v>
      </c>
      <c r="F963" s="16">
        <f t="shared" si="29"/>
        <v>-3.3653272183791216E-3</v>
      </c>
      <c r="G963" s="16"/>
    </row>
    <row r="964" spans="2:7" ht="15" thickBot="1" x14ac:dyDescent="0.4">
      <c r="B964" s="172">
        <v>4663.3500000000004</v>
      </c>
      <c r="D964" s="43">
        <v>22196.95</v>
      </c>
      <c r="E964" s="16">
        <f t="shared" ref="E964:E1027" si="30">B964/B965-1</f>
        <v>2.8336108140291305E-2</v>
      </c>
      <c r="F964" s="16">
        <f t="shared" ref="F964:F1027" si="31">D964/D965-1</f>
        <v>6.4339006259337417E-3</v>
      </c>
      <c r="G964" s="16"/>
    </row>
    <row r="965" spans="2:7" ht="15" thickBot="1" x14ac:dyDescent="0.4">
      <c r="B965" s="172">
        <v>4534.8500000000004</v>
      </c>
      <c r="D965" s="43">
        <v>22055.05</v>
      </c>
      <c r="E965" s="16">
        <f t="shared" si="30"/>
        <v>8.8317408762779159E-3</v>
      </c>
      <c r="F965" s="16">
        <f t="shared" si="31"/>
        <v>-7.3095697300995521E-3</v>
      </c>
      <c r="G965" s="16"/>
    </row>
    <row r="966" spans="2:7" ht="15" thickBot="1" x14ac:dyDescent="0.4">
      <c r="B966" s="172">
        <v>4495.1499999999996</v>
      </c>
      <c r="D966" s="43">
        <v>22217.45</v>
      </c>
      <c r="E966" s="16">
        <f t="shared" si="30"/>
        <v>-5.3327432649223905E-3</v>
      </c>
      <c r="F966" s="16">
        <f t="shared" si="31"/>
        <v>2.1384163113902233E-4</v>
      </c>
      <c r="G966" s="16"/>
    </row>
    <row r="967" spans="2:7" ht="15" thickBot="1" x14ac:dyDescent="0.4">
      <c r="B967" s="172">
        <v>4519.25</v>
      </c>
      <c r="D967" s="43">
        <v>22212.7</v>
      </c>
      <c r="E967" s="16">
        <f t="shared" si="30"/>
        <v>5.1489068303640639E-3</v>
      </c>
      <c r="F967" s="16">
        <f t="shared" si="31"/>
        <v>4.0977215041102522E-3</v>
      </c>
      <c r="G967" s="16"/>
    </row>
    <row r="968" spans="2:7" ht="15" thickBot="1" x14ac:dyDescent="0.4">
      <c r="B968" s="172">
        <v>4496.1000000000004</v>
      </c>
      <c r="D968" s="43">
        <v>22122.05</v>
      </c>
      <c r="E968" s="16">
        <f t="shared" si="30"/>
        <v>1.4909538267062539E-2</v>
      </c>
      <c r="F968" s="16">
        <f t="shared" si="31"/>
        <v>-3.4371924039399149E-3</v>
      </c>
      <c r="G968" s="16"/>
    </row>
    <row r="969" spans="2:7" ht="15" thickBot="1" x14ac:dyDescent="0.4">
      <c r="B969" s="172">
        <v>4430.05</v>
      </c>
      <c r="D969" s="43">
        <v>22198.35</v>
      </c>
      <c r="E969" s="16">
        <f t="shared" si="30"/>
        <v>1.2571284899601132E-2</v>
      </c>
      <c r="F969" s="16">
        <f t="shared" si="31"/>
        <v>1.1261368994335053E-2</v>
      </c>
      <c r="G969" s="16"/>
    </row>
    <row r="970" spans="2:7" ht="15" thickBot="1" x14ac:dyDescent="0.4">
      <c r="B970" s="172">
        <v>4375.05</v>
      </c>
      <c r="D970" s="43">
        <v>21951.15</v>
      </c>
      <c r="E970" s="16">
        <f t="shared" si="30"/>
        <v>-1.1623178583531013E-2</v>
      </c>
      <c r="F970" s="16">
        <f t="shared" si="31"/>
        <v>-1.4397619957420282E-3</v>
      </c>
      <c r="G970" s="16"/>
    </row>
    <row r="971" spans="2:7" ht="15" thickBot="1" x14ac:dyDescent="0.4">
      <c r="B971" s="172">
        <v>4426.5</v>
      </c>
      <c r="D971" s="43">
        <v>21982.799999999999</v>
      </c>
      <c r="E971" s="16">
        <f t="shared" si="30"/>
        <v>-1.7882895875396709E-2</v>
      </c>
      <c r="F971" s="16">
        <f t="shared" si="31"/>
        <v>-1.5934195064629897E-2</v>
      </c>
      <c r="G971" s="16"/>
    </row>
    <row r="972" spans="2:7" ht="15" thickBot="1" x14ac:dyDescent="0.4">
      <c r="B972" s="172">
        <v>4507.1000000000004</v>
      </c>
      <c r="D972" s="43">
        <v>22338.75</v>
      </c>
      <c r="E972" s="16">
        <f t="shared" si="30"/>
        <v>-2.2681440683478882E-2</v>
      </c>
      <c r="F972" s="16">
        <f t="shared" si="31"/>
        <v>-2.9836290927267584E-3</v>
      </c>
      <c r="G972" s="16"/>
    </row>
    <row r="973" spans="2:7" ht="15" thickBot="1" x14ac:dyDescent="0.4">
      <c r="B973" s="172">
        <v>4611.7</v>
      </c>
      <c r="D973" s="43">
        <v>22405.599999999999</v>
      </c>
      <c r="E973" s="16">
        <f t="shared" si="30"/>
        <v>4.7276688453159466E-3</v>
      </c>
      <c r="F973" s="16">
        <f t="shared" si="31"/>
        <v>2.2051949562316153E-3</v>
      </c>
      <c r="G973" s="16"/>
    </row>
    <row r="974" spans="2:7" ht="15" thickBot="1" x14ac:dyDescent="0.4">
      <c r="B974" s="172">
        <v>4590</v>
      </c>
      <c r="D974" s="43">
        <v>22356.3</v>
      </c>
      <c r="E974" s="16">
        <f t="shared" si="30"/>
        <v>-9.7728302375250653E-3</v>
      </c>
      <c r="F974" s="16">
        <f t="shared" si="31"/>
        <v>-5.2393760804126943E-3</v>
      </c>
      <c r="G974" s="16"/>
    </row>
    <row r="975" spans="2:7" ht="15" thickBot="1" x14ac:dyDescent="0.4">
      <c r="B975" s="172">
        <v>4635.3</v>
      </c>
      <c r="D975" s="43">
        <v>22474.05</v>
      </c>
      <c r="E975" s="16">
        <f t="shared" si="30"/>
        <v>-3.7825872036792996E-3</v>
      </c>
      <c r="F975" s="16">
        <f t="shared" si="31"/>
        <v>-8.6691518235226805E-4</v>
      </c>
      <c r="G975" s="16"/>
    </row>
    <row r="976" spans="2:7" ht="15" thickBot="1" x14ac:dyDescent="0.4">
      <c r="B976" s="172">
        <v>4652.8999999999996</v>
      </c>
      <c r="D976" s="43">
        <v>22493.55</v>
      </c>
      <c r="E976" s="16">
        <f t="shared" si="30"/>
        <v>-4.0242310079843246E-3</v>
      </c>
      <c r="F976" s="16">
        <f t="shared" si="31"/>
        <v>7.204698054193992E-3</v>
      </c>
      <c r="G976" s="16"/>
    </row>
    <row r="977" spans="2:7" ht="15" thickBot="1" x14ac:dyDescent="0.4">
      <c r="B977" s="172">
        <v>4671.7</v>
      </c>
      <c r="D977" s="43">
        <v>22332.65</v>
      </c>
      <c r="E977" s="16">
        <f t="shared" si="30"/>
        <v>2.7474296507759011E-3</v>
      </c>
      <c r="F977" s="16">
        <f t="shared" si="31"/>
        <v>-1.3655269366974476E-4</v>
      </c>
      <c r="G977" s="16"/>
    </row>
    <row r="978" spans="2:7" ht="15" thickBot="1" x14ac:dyDescent="0.4">
      <c r="B978" s="172">
        <v>4658.8999999999996</v>
      </c>
      <c r="D978" s="43">
        <v>22335.7</v>
      </c>
      <c r="E978" s="16">
        <f t="shared" si="30"/>
        <v>3.2534739921544098E-2</v>
      </c>
      <c r="F978" s="16">
        <f t="shared" si="31"/>
        <v>1.5365242729921791E-2</v>
      </c>
      <c r="G978" s="16"/>
    </row>
    <row r="979" spans="2:7" ht="15" thickBot="1" x14ac:dyDescent="0.4">
      <c r="B979" s="172">
        <v>4512.1000000000004</v>
      </c>
      <c r="D979" s="43">
        <v>21997.7</v>
      </c>
      <c r="E979" s="16">
        <f t="shared" si="30"/>
        <v>-3.4906850897268638E-2</v>
      </c>
      <c r="F979" s="16">
        <f t="shared" si="31"/>
        <v>-6.7256221595591859E-3</v>
      </c>
      <c r="G979" s="16"/>
    </row>
    <row r="980" spans="2:7" ht="15" thickBot="1" x14ac:dyDescent="0.4">
      <c r="B980" s="172">
        <v>4675.3</v>
      </c>
      <c r="D980" s="43">
        <v>22146.65</v>
      </c>
      <c r="E980" s="16">
        <f t="shared" si="30"/>
        <v>1.9627941465116816E-2</v>
      </c>
      <c r="F980" s="16">
        <f t="shared" si="31"/>
        <v>5.5986033005879232E-3</v>
      </c>
      <c r="G980" s="16"/>
    </row>
    <row r="981" spans="2:7" ht="15" thickBot="1" x14ac:dyDescent="0.4">
      <c r="B981" s="172">
        <v>4585.3</v>
      </c>
      <c r="D981" s="43">
        <v>22023.35</v>
      </c>
      <c r="E981" s="16">
        <f t="shared" si="30"/>
        <v>6.8288612709148655E-3</v>
      </c>
      <c r="F981" s="16">
        <f t="shared" si="31"/>
        <v>-1.4667410238624612E-3</v>
      </c>
      <c r="G981" s="16"/>
    </row>
    <row r="982" spans="2:7" ht="15" thickBot="1" x14ac:dyDescent="0.4">
      <c r="B982" s="172">
        <v>4554.2</v>
      </c>
      <c r="D982" s="43">
        <v>22055.7</v>
      </c>
      <c r="E982" s="16">
        <f t="shared" si="30"/>
        <v>2.7412341057961864E-3</v>
      </c>
      <c r="F982" s="16">
        <f t="shared" si="31"/>
        <v>1.0920157946964437E-2</v>
      </c>
      <c r="G982" s="16"/>
    </row>
    <row r="983" spans="2:7" ht="15" thickBot="1" x14ac:dyDescent="0.4">
      <c r="B983" s="172">
        <v>4541.75</v>
      </c>
      <c r="D983" s="43">
        <v>21817.45</v>
      </c>
      <c r="E983" s="16">
        <f t="shared" si="30"/>
        <v>6.939440632309557E-3</v>
      </c>
      <c r="F983" s="16">
        <f t="shared" si="31"/>
        <v>-9.9134121827360033E-4</v>
      </c>
      <c r="G983" s="16"/>
    </row>
    <row r="984" spans="2:7" ht="15" thickBot="1" x14ac:dyDescent="0.4">
      <c r="B984" s="172">
        <v>4510.45</v>
      </c>
      <c r="D984" s="43">
        <v>21839.1</v>
      </c>
      <c r="E984" s="16">
        <f t="shared" si="30"/>
        <v>-2.0907542202260876E-3</v>
      </c>
      <c r="F984" s="16">
        <f t="shared" si="31"/>
        <v>-7.8525528179013149E-3</v>
      </c>
      <c r="G984" s="16"/>
    </row>
    <row r="985" spans="2:7" ht="15" thickBot="1" x14ac:dyDescent="0.4">
      <c r="B985" s="172">
        <v>4519.8999999999996</v>
      </c>
      <c r="D985" s="43">
        <v>22011.95</v>
      </c>
      <c r="E985" s="16">
        <f t="shared" si="30"/>
        <v>-3.5034158838599616E-2</v>
      </c>
      <c r="F985" s="16">
        <f t="shared" si="31"/>
        <v>-3.8376684354033408E-3</v>
      </c>
      <c r="G985" s="16"/>
    </row>
    <row r="986" spans="2:7" ht="15" thickBot="1" x14ac:dyDescent="0.4">
      <c r="B986" s="172">
        <v>4684</v>
      </c>
      <c r="D986" s="43">
        <v>22096.75</v>
      </c>
      <c r="E986" s="16">
        <f t="shared" si="30"/>
        <v>2.7509285721931676E-3</v>
      </c>
      <c r="F986" s="16">
        <f t="shared" si="31"/>
        <v>4.1831972260470973E-3</v>
      </c>
      <c r="G986" s="16"/>
    </row>
    <row r="987" spans="2:7" ht="15" thickBot="1" x14ac:dyDescent="0.4">
      <c r="B987" s="172">
        <v>4671.1499999999996</v>
      </c>
      <c r="D987" s="43">
        <v>22004.7</v>
      </c>
      <c r="E987" s="16">
        <f t="shared" si="30"/>
        <v>2.1563460213666286E-2</v>
      </c>
      <c r="F987" s="16">
        <f t="shared" si="31"/>
        <v>-5.3765992501237925E-3</v>
      </c>
      <c r="G987" s="16"/>
    </row>
    <row r="988" spans="2:7" ht="15" thickBot="1" x14ac:dyDescent="0.4">
      <c r="B988" s="172">
        <v>4572.55</v>
      </c>
      <c r="D988" s="43">
        <v>22123.65</v>
      </c>
      <c r="E988" s="16">
        <f t="shared" si="30"/>
        <v>-3.1711242403066331E-2</v>
      </c>
      <c r="F988" s="16">
        <f t="shared" si="31"/>
        <v>-9.1033685822931032E-3</v>
      </c>
      <c r="G988" s="16"/>
    </row>
    <row r="989" spans="2:7" ht="15" thickBot="1" x14ac:dyDescent="0.4">
      <c r="B989" s="172">
        <v>4722.3</v>
      </c>
      <c r="D989" s="43">
        <v>22326.9</v>
      </c>
      <c r="E989" s="16">
        <f t="shared" si="30"/>
        <v>8.8767825668962796E-3</v>
      </c>
      <c r="F989" s="16">
        <f t="shared" si="31"/>
        <v>-6.0146024396758868E-3</v>
      </c>
      <c r="G989" s="16"/>
    </row>
    <row r="990" spans="2:7" ht="15" thickBot="1" x14ac:dyDescent="0.4">
      <c r="B990" s="172">
        <v>4680.75</v>
      </c>
      <c r="D990" s="43">
        <v>22462</v>
      </c>
      <c r="E990" s="16">
        <f t="shared" si="30"/>
        <v>2.6300210489387688E-2</v>
      </c>
      <c r="F990" s="16">
        <f t="shared" si="31"/>
        <v>3.8747088401258623E-4</v>
      </c>
      <c r="G990" s="16"/>
    </row>
    <row r="991" spans="2:7" ht="15" thickBot="1" x14ac:dyDescent="0.4">
      <c r="B991" s="172">
        <v>4560.8</v>
      </c>
      <c r="D991" s="43">
        <v>22453.3</v>
      </c>
      <c r="E991" s="16">
        <f t="shared" si="30"/>
        <v>7.8995874659892884E-4</v>
      </c>
      <c r="F991" s="16">
        <f t="shared" si="31"/>
        <v>8.3130336332404298E-4</v>
      </c>
      <c r="G991" s="16"/>
    </row>
    <row r="992" spans="2:7" ht="15" thickBot="1" x14ac:dyDescent="0.4">
      <c r="B992" s="172">
        <v>4557.2</v>
      </c>
      <c r="D992" s="43">
        <v>22434.65</v>
      </c>
      <c r="E992" s="16">
        <f t="shared" si="30"/>
        <v>7.5724914049459802E-3</v>
      </c>
      <c r="F992" s="16">
        <f t="shared" si="31"/>
        <v>-3.5532420002087894E-3</v>
      </c>
      <c r="G992" s="16"/>
    </row>
    <row r="993" spans="2:7" ht="15" thickBot="1" x14ac:dyDescent="0.4">
      <c r="B993" s="172">
        <v>4522.95</v>
      </c>
      <c r="D993" s="43">
        <v>22514.65</v>
      </c>
      <c r="E993" s="16">
        <f t="shared" si="30"/>
        <v>-4.3094875024862755E-4</v>
      </c>
      <c r="F993" s="16">
        <f t="shared" si="31"/>
        <v>4.2196529224547419E-5</v>
      </c>
      <c r="G993" s="16"/>
    </row>
    <row r="994" spans="2:7" ht="15" thickBot="1" x14ac:dyDescent="0.4">
      <c r="B994" s="172">
        <v>4524.8999999999996</v>
      </c>
      <c r="D994" s="43">
        <v>22513.7</v>
      </c>
      <c r="E994" s="16">
        <f t="shared" si="30"/>
        <v>-1.5277143043677111E-2</v>
      </c>
      <c r="F994" s="16">
        <f t="shared" si="31"/>
        <v>-6.7324618486475085E-3</v>
      </c>
      <c r="G994" s="16"/>
    </row>
    <row r="995" spans="2:7" ht="15" thickBot="1" x14ac:dyDescent="0.4">
      <c r="B995" s="172">
        <v>4595.1000000000004</v>
      </c>
      <c r="D995" s="43">
        <v>22666.3</v>
      </c>
      <c r="E995" s="16">
        <f t="shared" si="30"/>
        <v>1.6232832784129902E-2</v>
      </c>
      <c r="F995" s="16">
        <f t="shared" si="31"/>
        <v>1.0400680129400985E-3</v>
      </c>
      <c r="G995" s="16"/>
    </row>
    <row r="996" spans="2:7" ht="15" thickBot="1" x14ac:dyDescent="0.4">
      <c r="B996" s="172">
        <v>4521.7</v>
      </c>
      <c r="D996" s="43">
        <v>22642.75</v>
      </c>
      <c r="E996" s="16">
        <f t="shared" si="30"/>
        <v>5.9623128434447281E-3</v>
      </c>
      <c r="F996" s="16">
        <f t="shared" si="31"/>
        <v>-4.8805034763423905E-3</v>
      </c>
      <c r="G996" s="16"/>
    </row>
    <row r="997" spans="2:7" ht="15" thickBot="1" x14ac:dyDescent="0.4">
      <c r="B997" s="172">
        <v>4494.8999999999996</v>
      </c>
      <c r="D997" s="43">
        <v>22753.8</v>
      </c>
      <c r="E997" s="16">
        <f t="shared" si="30"/>
        <v>1.2182489641505923E-2</v>
      </c>
      <c r="F997" s="16">
        <f t="shared" si="31"/>
        <v>1.0408803076458417E-2</v>
      </c>
      <c r="G997" s="16"/>
    </row>
    <row r="998" spans="2:7" ht="15" thickBot="1" x14ac:dyDescent="0.4">
      <c r="B998" s="172">
        <v>4440.8</v>
      </c>
      <c r="D998" s="43">
        <v>22519.4</v>
      </c>
      <c r="E998" s="16">
        <f t="shared" si="30"/>
        <v>1.3603578928147675E-2</v>
      </c>
      <c r="F998" s="16">
        <f t="shared" si="31"/>
        <v>1.1085419238971994E-2</v>
      </c>
      <c r="G998" s="16"/>
    </row>
    <row r="999" spans="2:7" ht="15" thickBot="1" x14ac:dyDescent="0.4">
      <c r="B999" s="172">
        <v>4381.2</v>
      </c>
      <c r="D999" s="43">
        <v>22272.5</v>
      </c>
      <c r="E999" s="16">
        <f t="shared" si="30"/>
        <v>1.3486317055680264E-2</v>
      </c>
      <c r="F999" s="16">
        <f t="shared" si="31"/>
        <v>5.6258155400736864E-3</v>
      </c>
      <c r="G999" s="16"/>
    </row>
    <row r="1000" spans="2:7" ht="15" thickBot="1" x14ac:dyDescent="0.4">
      <c r="B1000" s="172">
        <v>4322.8999999999996</v>
      </c>
      <c r="D1000" s="43">
        <v>22147.9</v>
      </c>
      <c r="E1000" s="16">
        <f t="shared" si="30"/>
        <v>1.6841907181332605E-2</v>
      </c>
      <c r="F1000" s="16">
        <f t="shared" si="31"/>
        <v>6.9126676168460577E-3</v>
      </c>
      <c r="G1000" s="16"/>
    </row>
    <row r="1001" spans="2:7" ht="15" thickBot="1" x14ac:dyDescent="0.4">
      <c r="B1001" s="172">
        <v>4251.3</v>
      </c>
      <c r="D1001" s="43">
        <v>21995.85</v>
      </c>
      <c r="E1001" s="16">
        <f t="shared" si="30"/>
        <v>8.9232740821607592E-3</v>
      </c>
      <c r="F1001" s="16">
        <f t="shared" si="31"/>
        <v>-6.824852124441283E-3</v>
      </c>
      <c r="G1001" s="16"/>
    </row>
    <row r="1002" spans="2:7" ht="15" thickBot="1" x14ac:dyDescent="0.4">
      <c r="B1002" s="172">
        <v>4213.7</v>
      </c>
      <c r="D1002" s="43">
        <v>22147</v>
      </c>
      <c r="E1002" s="16">
        <f t="shared" si="30"/>
        <v>-2.2774183074746546E-2</v>
      </c>
      <c r="F1002" s="16">
        <f t="shared" si="31"/>
        <v>-8.479432674916354E-3</v>
      </c>
      <c r="G1002" s="16"/>
    </row>
    <row r="1003" spans="2:7" ht="15" thickBot="1" x14ac:dyDescent="0.4">
      <c r="B1003" s="172">
        <v>4311.8999999999996</v>
      </c>
      <c r="D1003" s="43">
        <v>22336.400000000001</v>
      </c>
      <c r="E1003" s="16">
        <f t="shared" si="30"/>
        <v>-7.6293713536094154E-3</v>
      </c>
      <c r="F1003" s="16">
        <f t="shared" si="31"/>
        <v>-1.4127324749642067E-3</v>
      </c>
      <c r="G1003" s="16"/>
    </row>
    <row r="1004" spans="2:7" ht="15" thickBot="1" x14ac:dyDescent="0.4">
      <c r="B1004" s="172">
        <v>4345.05</v>
      </c>
      <c r="D1004" s="43">
        <v>22368</v>
      </c>
      <c r="E1004" s="16">
        <f t="shared" si="30"/>
        <v>-1.09938884905596E-2</v>
      </c>
      <c r="F1004" s="16">
        <f t="shared" si="31"/>
        <v>-1.5355497625254566E-3</v>
      </c>
      <c r="G1004" s="16"/>
    </row>
    <row r="1005" spans="2:7" ht="15" thickBot="1" x14ac:dyDescent="0.4">
      <c r="B1005" s="172">
        <v>4393.3500000000004</v>
      </c>
      <c r="D1005" s="43">
        <v>22402.400000000001</v>
      </c>
      <c r="E1005" s="16">
        <f t="shared" si="30"/>
        <v>-2.3331036169219388E-2</v>
      </c>
      <c r="F1005" s="16">
        <f t="shared" si="31"/>
        <v>-7.4411783601050496E-3</v>
      </c>
      <c r="G1005" s="16"/>
    </row>
    <row r="1006" spans="2:7" ht="15" thickBot="1" x14ac:dyDescent="0.4">
      <c r="B1006" s="172">
        <v>4498.3</v>
      </c>
      <c r="D1006" s="43">
        <v>22570.35</v>
      </c>
      <c r="E1006" s="16">
        <f t="shared" si="30"/>
        <v>1.4916733458010256E-3</v>
      </c>
      <c r="F1006" s="16">
        <f t="shared" si="31"/>
        <v>6.7083111246901694E-3</v>
      </c>
      <c r="G1006" s="16"/>
    </row>
    <row r="1007" spans="2:7" ht="15" thickBot="1" x14ac:dyDescent="0.4">
      <c r="B1007" s="172">
        <v>4491.6000000000004</v>
      </c>
      <c r="D1007" s="43">
        <v>22419.95</v>
      </c>
      <c r="E1007" s="16">
        <f t="shared" si="30"/>
        <v>7.6048186284407571E-3</v>
      </c>
      <c r="F1007" s="16">
        <f t="shared" si="31"/>
        <v>-9.868217670491175E-3</v>
      </c>
      <c r="G1007" s="16"/>
    </row>
    <row r="1008" spans="2:7" ht="15" thickBot="1" x14ac:dyDescent="0.4">
      <c r="B1008" s="172">
        <v>4457.7</v>
      </c>
      <c r="D1008" s="43">
        <v>22643.4</v>
      </c>
      <c r="E1008" s="16">
        <f t="shared" si="30"/>
        <v>-1.8786938290355715E-2</v>
      </c>
      <c r="F1008" s="16">
        <f t="shared" si="31"/>
        <v>1.7053862334854841E-3</v>
      </c>
      <c r="G1008" s="16"/>
    </row>
    <row r="1009" spans="2:7" ht="15" thickBot="1" x14ac:dyDescent="0.4">
      <c r="B1009" s="172">
        <v>4543.05</v>
      </c>
      <c r="D1009" s="43">
        <v>22604.85</v>
      </c>
      <c r="E1009" s="16">
        <f t="shared" si="30"/>
        <v>-4.0447221308779202E-3</v>
      </c>
      <c r="F1009" s="16">
        <f t="shared" si="31"/>
        <v>-1.9140593954487528E-3</v>
      </c>
      <c r="G1009" s="16"/>
    </row>
    <row r="1010" spans="2:7" ht="15" thickBot="1" x14ac:dyDescent="0.4">
      <c r="B1010" s="172">
        <v>4561.5</v>
      </c>
      <c r="D1010" s="43">
        <v>22648.2</v>
      </c>
      <c r="E1010" s="16">
        <f t="shared" si="30"/>
        <v>1.9219153259020239E-3</v>
      </c>
      <c r="F1010" s="16">
        <f t="shared" si="31"/>
        <v>7.6682305674757867E-3</v>
      </c>
      <c r="G1010" s="16"/>
    </row>
    <row r="1011" spans="2:7" ht="15" thickBot="1" x14ac:dyDescent="0.4">
      <c r="B1011" s="172">
        <v>4552.75</v>
      </c>
      <c r="D1011" s="43">
        <v>22475.85</v>
      </c>
      <c r="E1011" s="16">
        <f t="shared" si="30"/>
        <v>9.5348966128943058E-3</v>
      </c>
      <c r="F1011" s="16">
        <f t="shared" si="31"/>
        <v>1.4770950019382667E-3</v>
      </c>
      <c r="G1011" s="16"/>
    </row>
    <row r="1012" spans="2:7" ht="15" thickBot="1" x14ac:dyDescent="0.4">
      <c r="B1012" s="172">
        <v>4509.75</v>
      </c>
      <c r="D1012" s="43">
        <v>22442.7</v>
      </c>
      <c r="E1012" s="16">
        <f t="shared" si="30"/>
        <v>7.3714189981570755E-3</v>
      </c>
      <c r="F1012" s="16">
        <f t="shared" si="31"/>
        <v>6.2862907745768748E-3</v>
      </c>
      <c r="G1012" s="16"/>
    </row>
    <row r="1013" spans="2:7" ht="15" thickBot="1" x14ac:dyDescent="0.4">
      <c r="B1013" s="172">
        <v>4476.75</v>
      </c>
      <c r="D1013" s="43">
        <v>22302.5</v>
      </c>
      <c r="E1013" s="16">
        <f t="shared" si="30"/>
        <v>-2.9725395002058952E-2</v>
      </c>
      <c r="F1013" s="16">
        <f t="shared" si="31"/>
        <v>0</v>
      </c>
      <c r="G1013" s="16"/>
    </row>
    <row r="1014" spans="2:7" ht="15" thickBot="1" x14ac:dyDescent="0.4">
      <c r="B1014" s="172">
        <v>4613.8999999999996</v>
      </c>
      <c r="D1014" s="43">
        <v>22302.5</v>
      </c>
      <c r="E1014" s="16">
        <f t="shared" si="30"/>
        <v>-3.1690066947889783E-2</v>
      </c>
      <c r="F1014" s="16">
        <f t="shared" si="31"/>
        <v>1.5712171239895323E-2</v>
      </c>
      <c r="G1014" s="16"/>
    </row>
    <row r="1015" spans="2:7" ht="15" thickBot="1" x14ac:dyDescent="0.4">
      <c r="B1015" s="172">
        <v>4764.8999999999996</v>
      </c>
      <c r="D1015" s="43">
        <v>21957.5</v>
      </c>
      <c r="E1015" s="16">
        <f t="shared" si="30"/>
        <v>-2.306556772050683E-2</v>
      </c>
      <c r="F1015" s="16">
        <f t="shared" si="31"/>
        <v>-4.4297943342159751E-3</v>
      </c>
      <c r="G1015" s="16"/>
    </row>
    <row r="1016" spans="2:7" ht="15" thickBot="1" x14ac:dyDescent="0.4">
      <c r="B1016" s="172">
        <v>4877.3999999999996</v>
      </c>
      <c r="D1016" s="43">
        <v>22055.200000000001</v>
      </c>
      <c r="E1016" s="16">
        <f t="shared" si="30"/>
        <v>-1.6681847489025126E-3</v>
      </c>
      <c r="F1016" s="16">
        <f t="shared" si="31"/>
        <v>-2.2100022394085928E-3</v>
      </c>
      <c r="G1016" s="16"/>
    </row>
    <row r="1017" spans="2:7" ht="15" thickBot="1" x14ac:dyDescent="0.4">
      <c r="B1017" s="172">
        <v>4885.55</v>
      </c>
      <c r="D1017" s="43">
        <v>22104.05</v>
      </c>
      <c r="E1017" s="16">
        <f t="shared" si="30"/>
        <v>-3.1307934053078634E-2</v>
      </c>
      <c r="F1017" s="16">
        <f t="shared" si="31"/>
        <v>-5.1220077550258036E-3</v>
      </c>
      <c r="G1017" s="16"/>
    </row>
    <row r="1018" spans="2:7" ht="15" thickBot="1" x14ac:dyDescent="0.4">
      <c r="B1018" s="172">
        <v>5043.45</v>
      </c>
      <c r="D1018" s="43">
        <v>22217.85</v>
      </c>
      <c r="E1018" s="16">
        <f t="shared" si="30"/>
        <v>-2.7386154667511375E-3</v>
      </c>
      <c r="F1018" s="16">
        <f t="shared" si="31"/>
        <v>7.7925997328898156E-4</v>
      </c>
      <c r="G1018" s="16"/>
    </row>
    <row r="1019" spans="2:7" ht="15" thickBot="1" x14ac:dyDescent="0.4">
      <c r="B1019" s="172">
        <v>5057.3</v>
      </c>
      <c r="D1019" s="43">
        <v>22200.55</v>
      </c>
      <c r="E1019" s="16">
        <f t="shared" si="30"/>
        <v>-1.6347846382759434E-2</v>
      </c>
      <c r="F1019" s="16">
        <f t="shared" si="31"/>
        <v>-9.0743332061230531E-3</v>
      </c>
      <c r="G1019" s="16"/>
    </row>
    <row r="1020" spans="2:7" ht="15" thickBot="1" x14ac:dyDescent="0.4">
      <c r="B1020" s="172">
        <v>5141.3500000000004</v>
      </c>
      <c r="D1020" s="43">
        <v>22403.85</v>
      </c>
      <c r="E1020" s="16">
        <f t="shared" si="30"/>
        <v>1.0247190128114481E-2</v>
      </c>
      <c r="F1020" s="16">
        <f t="shared" si="31"/>
        <v>-2.7708414010442217E-3</v>
      </c>
      <c r="G1020" s="16"/>
    </row>
    <row r="1021" spans="2:7" ht="15" thickBot="1" x14ac:dyDescent="0.4">
      <c r="B1021" s="172">
        <v>5089.2</v>
      </c>
      <c r="D1021" s="43">
        <v>22466.1</v>
      </c>
      <c r="E1021" s="16">
        <f t="shared" si="30"/>
        <v>6.9946674317598045E-3</v>
      </c>
      <c r="F1021" s="16">
        <f t="shared" si="31"/>
        <v>-2.794170193594514E-3</v>
      </c>
      <c r="G1021" s="16"/>
    </row>
    <row r="1022" spans="2:7" ht="15" thickBot="1" x14ac:dyDescent="0.4">
      <c r="B1022" s="172">
        <v>5053.8500000000004</v>
      </c>
      <c r="D1022" s="43">
        <v>22529.05</v>
      </c>
      <c r="E1022" s="16">
        <f t="shared" si="30"/>
        <v>1.1589387403797113E-2</v>
      </c>
      <c r="F1022" s="16">
        <f t="shared" si="31"/>
        <v>-3.0423315543991469E-3</v>
      </c>
      <c r="G1022" s="16"/>
    </row>
    <row r="1023" spans="2:7" ht="15" thickBot="1" x14ac:dyDescent="0.4">
      <c r="B1023" s="172">
        <v>4995.95</v>
      </c>
      <c r="D1023" s="43">
        <v>22597.8</v>
      </c>
      <c r="E1023" s="16">
        <f t="shared" si="30"/>
        <v>-2.9007618751457631E-2</v>
      </c>
      <c r="F1023" s="16">
        <f t="shared" si="31"/>
        <v>-1.6103084120491329E-2</v>
      </c>
      <c r="G1023" s="16"/>
    </row>
    <row r="1024" spans="2:7" ht="15" thickBot="1" x14ac:dyDescent="0.4">
      <c r="B1024" s="172">
        <v>5145.2</v>
      </c>
      <c r="D1024" s="43">
        <v>22967.65</v>
      </c>
      <c r="E1024" s="16">
        <f t="shared" si="30"/>
        <v>5.2556512904675667E-3</v>
      </c>
      <c r="F1024" s="16">
        <f t="shared" si="31"/>
        <v>4.5955281808263138E-4</v>
      </c>
      <c r="G1024" s="16"/>
    </row>
    <row r="1025" spans="2:7" ht="15" thickBot="1" x14ac:dyDescent="0.4">
      <c r="B1025" s="172">
        <v>5118.3</v>
      </c>
      <c r="D1025" s="43">
        <v>22957.1</v>
      </c>
      <c r="E1025" s="16">
        <f t="shared" si="30"/>
        <v>6.7664588209839227E-3</v>
      </c>
      <c r="F1025" s="16">
        <f t="shared" si="31"/>
        <v>1.0748960534090468E-3</v>
      </c>
      <c r="G1025" s="16"/>
    </row>
    <row r="1026" spans="2:7" ht="15" thickBot="1" x14ac:dyDescent="0.4">
      <c r="B1026" s="172">
        <v>5083.8999999999996</v>
      </c>
      <c r="D1026" s="43">
        <v>22932.45</v>
      </c>
      <c r="E1026" s="16">
        <f t="shared" si="30"/>
        <v>-1.9299954667772679E-2</v>
      </c>
      <c r="F1026" s="16">
        <f t="shared" si="31"/>
        <v>1.9354993741302895E-3</v>
      </c>
      <c r="G1026" s="16"/>
    </row>
    <row r="1027" spans="2:7" ht="15" thickBot="1" x14ac:dyDescent="0.4">
      <c r="B1027" s="172">
        <v>5183.95</v>
      </c>
      <c r="D1027" s="43">
        <v>22888.15</v>
      </c>
      <c r="E1027" s="16">
        <f t="shared" si="30"/>
        <v>7.8153098420412626E-3</v>
      </c>
      <c r="F1027" s="16">
        <f t="shared" si="31"/>
        <v>8.0798248820728169E-3</v>
      </c>
      <c r="G1027" s="16"/>
    </row>
    <row r="1028" spans="2:7" ht="15" thickBot="1" x14ac:dyDescent="0.4">
      <c r="B1028" s="172">
        <v>5143.75</v>
      </c>
      <c r="D1028" s="43">
        <v>22704.7</v>
      </c>
      <c r="E1028" s="16">
        <f t="shared" ref="E1028:E1091" si="32">B1028/B1029-1</f>
        <v>1.5089563862928923E-3</v>
      </c>
      <c r="F1028" s="16">
        <f t="shared" ref="F1028:F1091" si="33">D1028/D1029-1</f>
        <v>9.6070684545315199E-3</v>
      </c>
      <c r="G1028" s="16"/>
    </row>
    <row r="1029" spans="2:7" ht="15" thickBot="1" x14ac:dyDescent="0.4">
      <c r="B1029" s="172">
        <v>5136</v>
      </c>
      <c r="D1029" s="43">
        <v>22488.65</v>
      </c>
      <c r="E1029" s="16">
        <f t="shared" si="32"/>
        <v>3.2033752636924095E-3</v>
      </c>
      <c r="F1029" s="16">
        <f t="shared" si="33"/>
        <v>-1.8663423684128766E-3</v>
      </c>
      <c r="G1029" s="16"/>
    </row>
    <row r="1030" spans="2:7" ht="15" thickBot="1" x14ac:dyDescent="0.4">
      <c r="B1030" s="172">
        <v>5119.6000000000004</v>
      </c>
      <c r="D1030" s="43">
        <v>22530.7</v>
      </c>
      <c r="E1030" s="16">
        <f t="shared" si="32"/>
        <v>-7.9448126186877355E-3</v>
      </c>
      <c r="F1030" s="16">
        <f t="shared" si="33"/>
        <v>-3.1516641663693612E-2</v>
      </c>
      <c r="G1030" s="16"/>
    </row>
    <row r="1031" spans="2:7" ht="15" thickBot="1" x14ac:dyDescent="0.4">
      <c r="B1031" s="172">
        <v>5160.6000000000004</v>
      </c>
      <c r="D1031" s="43">
        <v>23263.9</v>
      </c>
      <c r="E1031" s="16">
        <f t="shared" si="32"/>
        <v>-2.8263694051631538E-2</v>
      </c>
      <c r="F1031" s="16">
        <f t="shared" si="33"/>
        <v>6.3030912289520069E-2</v>
      </c>
      <c r="G1031" s="16"/>
    </row>
    <row r="1032" spans="2:7" ht="15" thickBot="1" x14ac:dyDescent="0.4">
      <c r="B1032" s="172">
        <v>5310.7</v>
      </c>
      <c r="D1032" s="43">
        <v>21884.5</v>
      </c>
      <c r="E1032" s="16">
        <f t="shared" si="32"/>
        <v>-6.1465052575770951E-2</v>
      </c>
      <c r="F1032" s="16">
        <f t="shared" si="33"/>
        <v>-3.2530442720824282E-2</v>
      </c>
      <c r="G1032" s="16"/>
    </row>
    <row r="1033" spans="2:7" ht="15" thickBot="1" x14ac:dyDescent="0.4">
      <c r="B1033" s="172">
        <v>5658.5</v>
      </c>
      <c r="D1033" s="43">
        <v>22620.35</v>
      </c>
      <c r="E1033" s="16">
        <f t="shared" si="32"/>
        <v>2.2451099968378685E-2</v>
      </c>
      <c r="F1033" s="16">
        <f t="shared" si="33"/>
        <v>-8.8097136897825612E-3</v>
      </c>
      <c r="G1033" s="16"/>
    </row>
    <row r="1034" spans="2:7" ht="15" thickBot="1" x14ac:dyDescent="0.4">
      <c r="B1034" s="172">
        <v>5534.25</v>
      </c>
      <c r="D1034" s="43">
        <v>22821.4</v>
      </c>
      <c r="E1034" s="16">
        <f t="shared" si="32"/>
        <v>-8.5276386860987374E-3</v>
      </c>
      <c r="F1034" s="16">
        <f t="shared" si="33"/>
        <v>-2.0126534178611988E-2</v>
      </c>
      <c r="G1034" s="16"/>
    </row>
    <row r="1035" spans="2:7" ht="15" thickBot="1" x14ac:dyDescent="0.4">
      <c r="B1035" s="172">
        <v>5581.85</v>
      </c>
      <c r="D1035" s="43">
        <v>23290.15</v>
      </c>
      <c r="E1035" s="16">
        <f t="shared" si="32"/>
        <v>-2.4527279717591055E-2</v>
      </c>
      <c r="F1035" s="16">
        <f t="shared" si="33"/>
        <v>1.3306562564490143E-3</v>
      </c>
      <c r="G1035" s="16"/>
    </row>
    <row r="1036" spans="2:7" ht="15" thickBot="1" x14ac:dyDescent="0.4">
      <c r="B1036" s="172">
        <v>5722.2</v>
      </c>
      <c r="D1036" s="43">
        <v>23259.200000000001</v>
      </c>
      <c r="E1036" s="16">
        <f t="shared" si="32"/>
        <v>-1.1129160474199096E-2</v>
      </c>
      <c r="F1036" s="16">
        <f t="shared" si="33"/>
        <v>-2.4285563844161917E-4</v>
      </c>
      <c r="G1036" s="16"/>
    </row>
    <row r="1037" spans="2:7" ht="15" thickBot="1" x14ac:dyDescent="0.4">
      <c r="B1037" s="172">
        <v>5786.6</v>
      </c>
      <c r="D1037" s="43">
        <v>23264.85</v>
      </c>
      <c r="E1037" s="16">
        <f t="shared" si="32"/>
        <v>-6.2174018168614786E-4</v>
      </c>
      <c r="F1037" s="16">
        <f t="shared" si="33"/>
        <v>-2.4911085433018121E-3</v>
      </c>
      <c r="G1037" s="16"/>
    </row>
    <row r="1038" spans="2:7" ht="15" thickBot="1" x14ac:dyDescent="0.4">
      <c r="B1038" s="172">
        <v>5790.2</v>
      </c>
      <c r="D1038" s="43">
        <v>23322.95</v>
      </c>
      <c r="E1038" s="16">
        <f t="shared" si="32"/>
        <v>-4.4360385144429637E-3</v>
      </c>
      <c r="F1038" s="16">
        <f t="shared" si="33"/>
        <v>-3.2458790797857962E-3</v>
      </c>
      <c r="G1038" s="16"/>
    </row>
    <row r="1039" spans="2:7" ht="15" thickBot="1" x14ac:dyDescent="0.4">
      <c r="B1039" s="172">
        <v>5816</v>
      </c>
      <c r="D1039" s="43">
        <v>23398.9</v>
      </c>
      <c r="E1039" s="16">
        <f t="shared" si="32"/>
        <v>2.0330105785466568E-3</v>
      </c>
      <c r="F1039" s="16">
        <f t="shared" si="33"/>
        <v>-2.842458748124832E-3</v>
      </c>
      <c r="G1039" s="16"/>
    </row>
    <row r="1040" spans="2:7" ht="15" thickBot="1" x14ac:dyDescent="0.4">
      <c r="B1040" s="172">
        <v>5804.2</v>
      </c>
      <c r="D1040" s="43">
        <v>23465.599999999999</v>
      </c>
      <c r="E1040" s="16">
        <f t="shared" si="32"/>
        <v>8.5753755527944175E-3</v>
      </c>
      <c r="F1040" s="16">
        <f t="shared" si="33"/>
        <v>-3.91800627390404E-3</v>
      </c>
      <c r="G1040" s="16"/>
    </row>
    <row r="1041" spans="2:7" ht="15" thickBot="1" x14ac:dyDescent="0.4">
      <c r="B1041" s="172">
        <v>5754.85</v>
      </c>
      <c r="D1041" s="43">
        <v>23557.9</v>
      </c>
      <c r="E1041" s="16">
        <f t="shared" si="32"/>
        <v>1.8972325017263758E-2</v>
      </c>
      <c r="F1041" s="16">
        <f t="shared" si="33"/>
        <v>1.7817656063956466E-3</v>
      </c>
      <c r="G1041" s="16"/>
    </row>
    <row r="1042" spans="2:7" ht="15" thickBot="1" x14ac:dyDescent="0.4">
      <c r="B1042" s="172">
        <v>5647.7</v>
      </c>
      <c r="D1042" s="43">
        <v>23516</v>
      </c>
      <c r="E1042" s="16">
        <f t="shared" si="32"/>
        <v>2.599643934164142E-2</v>
      </c>
      <c r="F1042" s="16">
        <f t="shared" si="33"/>
        <v>-2.1640429414011564E-3</v>
      </c>
      <c r="G1042" s="16"/>
    </row>
    <row r="1043" spans="2:7" ht="15" thickBot="1" x14ac:dyDescent="0.4">
      <c r="B1043" s="172">
        <v>5504.6</v>
      </c>
      <c r="D1043" s="43">
        <v>23567</v>
      </c>
      <c r="E1043" s="16">
        <f t="shared" si="32"/>
        <v>9.6478356566398471E-3</v>
      </c>
      <c r="F1043" s="16">
        <f t="shared" si="33"/>
        <v>2.804124062278035E-3</v>
      </c>
      <c r="G1043" s="16"/>
    </row>
    <row r="1044" spans="2:7" ht="15" thickBot="1" x14ac:dyDescent="0.4">
      <c r="B1044" s="172">
        <v>5452</v>
      </c>
      <c r="D1044" s="43">
        <v>23501.1</v>
      </c>
      <c r="E1044" s="16">
        <f t="shared" si="32"/>
        <v>-1.3114427680583574E-2</v>
      </c>
      <c r="F1044" s="16">
        <f t="shared" si="33"/>
        <v>-1.5613150733818637E-3</v>
      </c>
      <c r="G1044" s="16"/>
    </row>
    <row r="1045" spans="2:7" ht="15" thickBot="1" x14ac:dyDescent="0.4">
      <c r="B1045" s="172">
        <v>5524.45</v>
      </c>
      <c r="D1045" s="43">
        <v>23537.85</v>
      </c>
      <c r="E1045" s="16">
        <f t="shared" si="32"/>
        <v>2.6225045372050282E-3</v>
      </c>
      <c r="F1045" s="16">
        <f t="shared" si="33"/>
        <v>-7.7335559180989888E-3</v>
      </c>
      <c r="G1045" s="16"/>
    </row>
    <row r="1046" spans="2:7" ht="15" thickBot="1" x14ac:dyDescent="0.4">
      <c r="B1046" s="172">
        <v>5510</v>
      </c>
      <c r="D1046" s="43">
        <v>23721.3</v>
      </c>
      <c r="E1046" s="16">
        <f t="shared" si="32"/>
        <v>1.0452961672473782E-2</v>
      </c>
      <c r="F1046" s="16">
        <f t="shared" si="33"/>
        <v>-6.1796152299236073E-3</v>
      </c>
      <c r="G1046" s="16"/>
    </row>
    <row r="1047" spans="2:7" ht="15" thickBot="1" x14ac:dyDescent="0.4">
      <c r="B1047" s="172">
        <v>5453</v>
      </c>
      <c r="D1047" s="43">
        <v>23868.799999999999</v>
      </c>
      <c r="E1047" s="16">
        <f t="shared" si="32"/>
        <v>-5.8703420112301563E-3</v>
      </c>
      <c r="F1047" s="16">
        <f t="shared" si="33"/>
        <v>-7.3072844101561563E-3</v>
      </c>
      <c r="G1047" s="16"/>
    </row>
    <row r="1048" spans="2:7" ht="15" thickBot="1" x14ac:dyDescent="0.4">
      <c r="B1048" s="172">
        <v>5485.2</v>
      </c>
      <c r="D1048" s="43">
        <v>24044.5</v>
      </c>
      <c r="E1048" s="16">
        <f t="shared" si="32"/>
        <v>-1.6918775539465303E-2</v>
      </c>
      <c r="F1048" s="16">
        <f t="shared" si="33"/>
        <v>1.4118764212474044E-3</v>
      </c>
      <c r="G1048" s="16"/>
    </row>
    <row r="1049" spans="2:7" ht="15" thickBot="1" x14ac:dyDescent="0.4">
      <c r="B1049" s="172">
        <v>5579.6</v>
      </c>
      <c r="D1049" s="43">
        <v>24010.6</v>
      </c>
      <c r="E1049" s="16">
        <f t="shared" si="32"/>
        <v>-4.1941068337170151E-3</v>
      </c>
      <c r="F1049" s="16">
        <f t="shared" si="33"/>
        <v>-5.4407369744366996E-3</v>
      </c>
      <c r="G1049" s="16"/>
    </row>
    <row r="1050" spans="2:7" ht="15" thickBot="1" x14ac:dyDescent="0.4">
      <c r="B1050" s="172">
        <v>5603.1</v>
      </c>
      <c r="D1050" s="43">
        <v>24141.95</v>
      </c>
      <c r="E1050" s="16">
        <f t="shared" si="32"/>
        <v>6.46656248315991E-3</v>
      </c>
      <c r="F1050" s="16">
        <f t="shared" si="33"/>
        <v>7.5029483270716568E-4</v>
      </c>
      <c r="G1050" s="16"/>
    </row>
    <row r="1051" spans="2:7" ht="15" thickBot="1" x14ac:dyDescent="0.4">
      <c r="B1051" s="172">
        <v>5567.1</v>
      </c>
      <c r="D1051" s="43">
        <v>24123.85</v>
      </c>
      <c r="E1051" s="16">
        <f t="shared" si="32"/>
        <v>-2.267126663380914E-3</v>
      </c>
      <c r="F1051" s="16">
        <f t="shared" si="33"/>
        <v>-6.6971362691207181E-3</v>
      </c>
      <c r="G1051" s="16"/>
    </row>
    <row r="1052" spans="2:7" ht="15" thickBot="1" x14ac:dyDescent="0.4">
      <c r="B1052" s="172">
        <v>5579.75</v>
      </c>
      <c r="D1052" s="43">
        <v>24286.5</v>
      </c>
      <c r="E1052" s="16">
        <f t="shared" si="32"/>
        <v>3.8500634181006799E-3</v>
      </c>
      <c r="F1052" s="16">
        <f t="shared" si="33"/>
        <v>-6.4397594451526263E-4</v>
      </c>
      <c r="G1052" s="16"/>
    </row>
    <row r="1053" spans="2:7" ht="15" thickBot="1" x14ac:dyDescent="0.4">
      <c r="B1053" s="172">
        <v>5558.35</v>
      </c>
      <c r="D1053" s="43">
        <v>24302.15</v>
      </c>
      <c r="E1053" s="16">
        <f t="shared" si="32"/>
        <v>5.3975764881641908E-5</v>
      </c>
      <c r="F1053" s="16">
        <f t="shared" si="33"/>
        <v>-8.92128507616885E-4</v>
      </c>
      <c r="G1053" s="16"/>
    </row>
    <row r="1054" spans="2:7" ht="15" thickBot="1" x14ac:dyDescent="0.4">
      <c r="B1054" s="172">
        <v>5558.05</v>
      </c>
      <c r="D1054" s="43">
        <v>24323.85</v>
      </c>
      <c r="E1054" s="16">
        <f t="shared" si="32"/>
        <v>1.0205565350151824E-2</v>
      </c>
      <c r="F1054" s="16">
        <f t="shared" si="33"/>
        <v>1.3568772087801939E-4</v>
      </c>
      <c r="G1054" s="16"/>
    </row>
    <row r="1055" spans="2:7" ht="15" thickBot="1" x14ac:dyDescent="0.4">
      <c r="B1055" s="172">
        <v>5501.9</v>
      </c>
      <c r="D1055" s="43">
        <v>24320.55</v>
      </c>
      <c r="E1055" s="16">
        <f t="shared" si="32"/>
        <v>-1.5610602685560471E-2</v>
      </c>
      <c r="F1055" s="16">
        <f t="shared" si="33"/>
        <v>-4.6105299346791417E-3</v>
      </c>
      <c r="G1055" s="16"/>
    </row>
    <row r="1056" spans="2:7" ht="15" thickBot="1" x14ac:dyDescent="0.4">
      <c r="B1056" s="172">
        <v>5589.15</v>
      </c>
      <c r="D1056" s="43">
        <v>24433.200000000001</v>
      </c>
      <c r="E1056" s="16">
        <f t="shared" si="32"/>
        <v>1.4594962559564273E-2</v>
      </c>
      <c r="F1056" s="16">
        <f t="shared" si="33"/>
        <v>4.4708102341470823E-3</v>
      </c>
      <c r="G1056" s="16"/>
    </row>
    <row r="1057" spans="2:7" ht="15" thickBot="1" x14ac:dyDescent="0.4">
      <c r="B1057" s="172">
        <v>5508.75</v>
      </c>
      <c r="D1057" s="43">
        <v>24324.45</v>
      </c>
      <c r="E1057" s="16">
        <f t="shared" si="32"/>
        <v>-3.166704365528128E-3</v>
      </c>
      <c r="F1057" s="16">
        <f t="shared" si="33"/>
        <v>3.495647918341227E-4</v>
      </c>
      <c r="G1057" s="16"/>
    </row>
    <row r="1058" spans="2:7" ht="15" thickBot="1" x14ac:dyDescent="0.4">
      <c r="B1058" s="172">
        <v>5526.25</v>
      </c>
      <c r="D1058" s="43">
        <v>24315.95</v>
      </c>
      <c r="E1058" s="16">
        <f t="shared" si="32"/>
        <v>-3.7228001225909635E-3</v>
      </c>
      <c r="F1058" s="16">
        <f t="shared" si="33"/>
        <v>-7.5993331197466985E-3</v>
      </c>
      <c r="G1058" s="16"/>
    </row>
    <row r="1059" spans="2:7" ht="15" thickBot="1" x14ac:dyDescent="0.4">
      <c r="B1059" s="172">
        <v>5546.9</v>
      </c>
      <c r="D1059" s="43">
        <v>24502.15</v>
      </c>
      <c r="E1059" s="16">
        <f t="shared" si="32"/>
        <v>-1.0604047196482669E-2</v>
      </c>
      <c r="F1059" s="16">
        <f t="shared" si="33"/>
        <v>-3.4388510861562693E-3</v>
      </c>
      <c r="G1059" s="16"/>
    </row>
    <row r="1060" spans="2:7" ht="15" thickBot="1" x14ac:dyDescent="0.4">
      <c r="B1060" s="172">
        <v>5606.35</v>
      </c>
      <c r="D1060" s="43">
        <v>24586.7</v>
      </c>
      <c r="E1060" s="16">
        <f t="shared" si="32"/>
        <v>5.0644484681163782E-3</v>
      </c>
      <c r="F1060" s="16">
        <f t="shared" si="33"/>
        <v>-1.0685410149108288E-3</v>
      </c>
      <c r="G1060" s="16"/>
    </row>
    <row r="1061" spans="2:7" ht="15" thickBot="1" x14ac:dyDescent="0.4">
      <c r="B1061" s="172">
        <v>5578.1</v>
      </c>
      <c r="D1061" s="43">
        <v>24613</v>
      </c>
      <c r="E1061" s="16">
        <f t="shared" si="32"/>
        <v>1.3794482207117209E-2</v>
      </c>
      <c r="F1061" s="16">
        <f t="shared" si="33"/>
        <v>-7.5743371698953066E-3</v>
      </c>
      <c r="G1061" s="16"/>
    </row>
    <row r="1062" spans="2:7" ht="15" thickBot="1" x14ac:dyDescent="0.4">
      <c r="B1062" s="172">
        <v>5502.2</v>
      </c>
      <c r="D1062" s="43">
        <v>24800.85</v>
      </c>
      <c r="E1062" s="16">
        <f t="shared" si="32"/>
        <v>1.372588757668991E-2</v>
      </c>
      <c r="F1062" s="16">
        <f t="shared" si="33"/>
        <v>1.1004488216901809E-2</v>
      </c>
      <c r="G1062" s="16"/>
    </row>
    <row r="1063" spans="2:7" ht="15" thickBot="1" x14ac:dyDescent="0.4">
      <c r="B1063" s="172">
        <v>5427.7</v>
      </c>
      <c r="D1063" s="43">
        <v>24530.9</v>
      </c>
      <c r="E1063" s="16">
        <f t="shared" si="32"/>
        <v>-6.4889303789937847E-3</v>
      </c>
      <c r="F1063" s="16">
        <f t="shared" si="33"/>
        <v>8.8333996348333166E-4</v>
      </c>
      <c r="G1063" s="16"/>
    </row>
    <row r="1064" spans="2:7" ht="15" thickBot="1" x14ac:dyDescent="0.4">
      <c r="B1064" s="172">
        <v>5463.15</v>
      </c>
      <c r="D1064" s="43">
        <v>24509.25</v>
      </c>
      <c r="E1064" s="16">
        <f t="shared" si="32"/>
        <v>-9.14111597790912E-3</v>
      </c>
      <c r="F1064" s="16">
        <f t="shared" si="33"/>
        <v>1.2337080074593665E-3</v>
      </c>
      <c r="G1064" s="16"/>
    </row>
    <row r="1065" spans="2:7" ht="15" thickBot="1" x14ac:dyDescent="0.4">
      <c r="B1065" s="172">
        <v>5513.55</v>
      </c>
      <c r="D1065" s="43">
        <v>24479.05</v>
      </c>
      <c r="E1065" s="16">
        <f t="shared" si="32"/>
        <v>1.7682617322689387E-2</v>
      </c>
      <c r="F1065" s="16">
        <f t="shared" si="33"/>
        <v>2.6849898621663648E-3</v>
      </c>
      <c r="G1065" s="16"/>
    </row>
    <row r="1066" spans="2:7" ht="15" thickBot="1" x14ac:dyDescent="0.4">
      <c r="B1066" s="172">
        <v>5417.75</v>
      </c>
      <c r="D1066" s="43">
        <v>24413.5</v>
      </c>
      <c r="E1066" s="16">
        <f t="shared" si="32"/>
        <v>2.6928486822623832E-3</v>
      </c>
      <c r="F1066" s="16">
        <f t="shared" si="33"/>
        <v>3.0320288780272264E-4</v>
      </c>
      <c r="G1066" s="16"/>
    </row>
    <row r="1067" spans="2:7" ht="15" thickBot="1" x14ac:dyDescent="0.4">
      <c r="B1067" s="172">
        <v>5403.2</v>
      </c>
      <c r="D1067" s="43">
        <v>24406.1</v>
      </c>
      <c r="E1067" s="16">
        <f t="shared" si="32"/>
        <v>-1.38166420266842E-2</v>
      </c>
      <c r="F1067" s="16">
        <f t="shared" si="33"/>
        <v>-1.7264046289790391E-2</v>
      </c>
      <c r="G1067" s="16"/>
    </row>
    <row r="1068" spans="2:7" ht="15" thickBot="1" x14ac:dyDescent="0.4">
      <c r="B1068" s="172">
        <v>5478.9</v>
      </c>
      <c r="D1068" s="43">
        <v>24834.85</v>
      </c>
      <c r="E1068" s="16">
        <f t="shared" si="32"/>
        <v>1.0056504465972838E-2</v>
      </c>
      <c r="F1068" s="16">
        <f t="shared" si="33"/>
        <v>-5.0329963238948672E-5</v>
      </c>
      <c r="G1068" s="16"/>
    </row>
    <row r="1069" spans="2:7" ht="15" thickBot="1" x14ac:dyDescent="0.4">
      <c r="B1069" s="172">
        <v>5424.35</v>
      </c>
      <c r="D1069" s="43">
        <v>24836.1</v>
      </c>
      <c r="E1069" s="16">
        <f t="shared" si="32"/>
        <v>-3.664382932608401E-3</v>
      </c>
      <c r="F1069" s="16">
        <f t="shared" si="33"/>
        <v>-8.5286817152308014E-4</v>
      </c>
      <c r="G1069" s="16"/>
    </row>
    <row r="1070" spans="2:7" ht="15" thickBot="1" x14ac:dyDescent="0.4">
      <c r="B1070" s="172">
        <v>5444.3</v>
      </c>
      <c r="D1070" s="43">
        <v>24857.3</v>
      </c>
      <c r="E1070" s="16">
        <f t="shared" si="32"/>
        <v>-8.0441654747697156E-3</v>
      </c>
      <c r="F1070" s="16">
        <f t="shared" si="33"/>
        <v>-3.7613496772694877E-3</v>
      </c>
      <c r="G1070" s="16"/>
    </row>
    <row r="1071" spans="2:7" ht="15" thickBot="1" x14ac:dyDescent="0.4">
      <c r="B1071" s="172">
        <v>5488.45</v>
      </c>
      <c r="D1071" s="43">
        <v>24951.15</v>
      </c>
      <c r="E1071" s="16">
        <f t="shared" si="32"/>
        <v>2.1705743831268443E-2</v>
      </c>
      <c r="F1071" s="16">
        <f t="shared" si="33"/>
        <v>-2.3889584141314479E-3</v>
      </c>
      <c r="G1071" s="16"/>
    </row>
    <row r="1072" spans="2:7" ht="15" thickBot="1" x14ac:dyDescent="0.4">
      <c r="B1072" s="172">
        <v>5371.85</v>
      </c>
      <c r="D1072" s="43">
        <v>25010.9</v>
      </c>
      <c r="E1072" s="16">
        <f t="shared" si="32"/>
        <v>1.8514656251185091E-2</v>
      </c>
      <c r="F1072" s="16">
        <f t="shared" si="33"/>
        <v>1.1861945083887271E-2</v>
      </c>
      <c r="G1072" s="16"/>
    </row>
    <row r="1073" spans="2:7" ht="15" thickBot="1" x14ac:dyDescent="0.4">
      <c r="B1073" s="172">
        <v>5274.2</v>
      </c>
      <c r="D1073" s="43">
        <v>24717.7</v>
      </c>
      <c r="E1073" s="16">
        <f t="shared" si="32"/>
        <v>1.7419317502266773E-2</v>
      </c>
      <c r="F1073" s="16">
        <f t="shared" si="33"/>
        <v>2.7523736676699162E-2</v>
      </c>
      <c r="G1073" s="16"/>
    </row>
    <row r="1074" spans="2:7" ht="15" thickBot="1" x14ac:dyDescent="0.4">
      <c r="B1074" s="172">
        <v>5183.8999999999996</v>
      </c>
      <c r="D1074" s="43">
        <v>24055.599999999999</v>
      </c>
      <c r="E1074" s="16">
        <f t="shared" si="32"/>
        <v>1.9521434922107339E-3</v>
      </c>
      <c r="F1074" s="16">
        <f t="shared" si="33"/>
        <v>2.6278990770052246E-3</v>
      </c>
      <c r="G1074" s="16"/>
    </row>
    <row r="1075" spans="2:7" ht="15" thickBot="1" x14ac:dyDescent="0.4">
      <c r="B1075" s="172">
        <v>5173.8</v>
      </c>
      <c r="D1075" s="43">
        <v>23992.55</v>
      </c>
      <c r="E1075" s="16">
        <f t="shared" si="32"/>
        <v>-1.2850233250336185E-2</v>
      </c>
      <c r="F1075" s="16">
        <f t="shared" si="33"/>
        <v>-1.2550673937647971E-2</v>
      </c>
      <c r="G1075" s="16"/>
    </row>
    <row r="1076" spans="2:7" ht="15" thickBot="1" x14ac:dyDescent="0.4">
      <c r="B1076" s="172">
        <v>5241.1499999999996</v>
      </c>
      <c r="D1076" s="43">
        <v>24297.5</v>
      </c>
      <c r="E1076" s="16">
        <f t="shared" si="32"/>
        <v>1.5943321250654119E-2</v>
      </c>
      <c r="F1076" s="16">
        <f t="shared" si="33"/>
        <v>7.484347141020864E-3</v>
      </c>
      <c r="G1076" s="16"/>
    </row>
    <row r="1077" spans="2:7" ht="15" thickBot="1" x14ac:dyDescent="0.4">
      <c r="B1077" s="172">
        <v>5158.8999999999996</v>
      </c>
      <c r="D1077" s="43">
        <v>24117</v>
      </c>
      <c r="E1077" s="16">
        <f t="shared" si="32"/>
        <v>-9.2756183745583698E-3</v>
      </c>
      <c r="F1077" s="16">
        <f t="shared" si="33"/>
        <v>-1.0280086180363135E-2</v>
      </c>
      <c r="G1077" s="16"/>
    </row>
    <row r="1078" spans="2:7" ht="15" thickBot="1" x14ac:dyDescent="0.4">
      <c r="B1078" s="172">
        <v>5207.2</v>
      </c>
      <c r="D1078" s="43">
        <v>24367.5</v>
      </c>
      <c r="E1078" s="16">
        <f t="shared" si="32"/>
        <v>-1.9701234033340675E-2</v>
      </c>
      <c r="F1078" s="16">
        <f t="shared" si="33"/>
        <v>8.4199285332897666E-4</v>
      </c>
      <c r="G1078" s="16"/>
    </row>
    <row r="1079" spans="2:7" ht="15" thickBot="1" x14ac:dyDescent="0.4">
      <c r="B1079" s="172">
        <v>5311.85</v>
      </c>
      <c r="D1079" s="43">
        <v>24347</v>
      </c>
      <c r="E1079" s="16">
        <f t="shared" si="32"/>
        <v>1.2648937184253306E-2</v>
      </c>
      <c r="F1079" s="16">
        <f t="shared" si="33"/>
        <v>8.6167612577157104E-3</v>
      </c>
      <c r="G1079" s="16"/>
    </row>
    <row r="1080" spans="2:7" ht="15" thickBot="1" x14ac:dyDescent="0.4">
      <c r="B1080" s="172">
        <v>5245.5</v>
      </c>
      <c r="D1080" s="43">
        <v>24139</v>
      </c>
      <c r="E1080" s="16">
        <f t="shared" si="32"/>
        <v>3.4115664028230963E-2</v>
      </c>
      <c r="F1080" s="16">
        <f t="shared" si="33"/>
        <v>-1.9673828630595303E-4</v>
      </c>
      <c r="G1080" s="16"/>
    </row>
    <row r="1081" spans="2:7" ht="15" thickBot="1" x14ac:dyDescent="0.4">
      <c r="B1081" s="172">
        <v>5072.45</v>
      </c>
      <c r="D1081" s="43">
        <v>24143.75</v>
      </c>
      <c r="E1081" s="16">
        <f t="shared" si="32"/>
        <v>-1.0851972465435678E-2</v>
      </c>
      <c r="F1081" s="16">
        <f t="shared" si="33"/>
        <v>-1.6193210179637152E-2</v>
      </c>
      <c r="G1081" s="16"/>
    </row>
    <row r="1082" spans="2:7" ht="15" thickBot="1" x14ac:dyDescent="0.4">
      <c r="B1082" s="172">
        <v>5128.1000000000004</v>
      </c>
      <c r="D1082" s="43">
        <v>24541.15</v>
      </c>
      <c r="E1082" s="16">
        <f t="shared" si="32"/>
        <v>-1.1717319663126946E-2</v>
      </c>
      <c r="F1082" s="16">
        <f t="shared" si="33"/>
        <v>-1.2819130211840779E-3</v>
      </c>
      <c r="G1082" s="16"/>
    </row>
    <row r="1083" spans="2:7" ht="15" thickBot="1" x14ac:dyDescent="0.4">
      <c r="B1083" s="172">
        <v>5188.8999999999996</v>
      </c>
      <c r="D1083" s="43">
        <v>24572.65</v>
      </c>
      <c r="E1083" s="16">
        <f t="shared" si="32"/>
        <v>-1.0582716802684744E-2</v>
      </c>
      <c r="F1083" s="16">
        <f t="shared" si="33"/>
        <v>-5.1095496349019554E-3</v>
      </c>
      <c r="G1083" s="16"/>
    </row>
    <row r="1084" spans="2:7" ht="15" thickBot="1" x14ac:dyDescent="0.4">
      <c r="B1084" s="172">
        <v>5244.4</v>
      </c>
      <c r="D1084" s="43">
        <v>24698.85</v>
      </c>
      <c r="E1084" s="16">
        <f t="shared" si="32"/>
        <v>-7.625787651143856E-3</v>
      </c>
      <c r="F1084" s="16">
        <f t="shared" si="33"/>
        <v>-2.8804773477808521E-3</v>
      </c>
      <c r="G1084" s="16"/>
    </row>
    <row r="1085" spans="2:7" ht="15" thickBot="1" x14ac:dyDescent="0.4">
      <c r="B1085" s="172">
        <v>5284.7</v>
      </c>
      <c r="D1085" s="43">
        <v>24770.2</v>
      </c>
      <c r="E1085" s="16">
        <f t="shared" si="32"/>
        <v>-8.4897606919389634E-3</v>
      </c>
      <c r="F1085" s="16">
        <f t="shared" si="33"/>
        <v>-1.66455071237126E-3</v>
      </c>
      <c r="G1085" s="16"/>
    </row>
    <row r="1086" spans="2:7" ht="15" thickBot="1" x14ac:dyDescent="0.4">
      <c r="B1086" s="172">
        <v>5329.95</v>
      </c>
      <c r="D1086" s="43">
        <v>24811.5</v>
      </c>
      <c r="E1086" s="16">
        <f t="shared" si="32"/>
        <v>-1.0204460621367151E-2</v>
      </c>
      <c r="F1086" s="16">
        <f t="shared" si="33"/>
        <v>-4.6931996946408816E-4</v>
      </c>
      <c r="G1086" s="16"/>
    </row>
    <row r="1087" spans="2:7" ht="15" thickBot="1" x14ac:dyDescent="0.4">
      <c r="B1087" s="172">
        <v>5384.9</v>
      </c>
      <c r="D1087" s="43">
        <v>24823.15</v>
      </c>
      <c r="E1087" s="16">
        <f t="shared" si="32"/>
        <v>7.7005847953215412E-3</v>
      </c>
      <c r="F1087" s="16">
        <f t="shared" si="33"/>
        <v>-7.4948221953889949E-3</v>
      </c>
      <c r="G1087" s="16"/>
    </row>
    <row r="1088" spans="2:7" ht="15" thickBot="1" x14ac:dyDescent="0.4">
      <c r="B1088" s="172">
        <v>5343.75</v>
      </c>
      <c r="D1088" s="43">
        <v>25010.6</v>
      </c>
      <c r="E1088" s="16">
        <f t="shared" si="32"/>
        <v>-2.3895977821546399E-3</v>
      </c>
      <c r="F1088" s="16">
        <f t="shared" si="33"/>
        <v>-2.8579708407039384E-4</v>
      </c>
      <c r="G1088" s="16"/>
    </row>
    <row r="1089" spans="2:7" ht="15" thickBot="1" x14ac:dyDescent="0.4">
      <c r="B1089" s="172">
        <v>5356.55</v>
      </c>
      <c r="D1089" s="43">
        <v>25017.75</v>
      </c>
      <c r="E1089" s="16">
        <f t="shared" si="32"/>
        <v>8.5005836502618504E-3</v>
      </c>
      <c r="F1089" s="16">
        <f t="shared" si="33"/>
        <v>-1.3811079599318488E-3</v>
      </c>
      <c r="G1089" s="16"/>
    </row>
    <row r="1090" spans="2:7" ht="15" thickBot="1" x14ac:dyDescent="0.4">
      <c r="B1090" s="172">
        <v>5311.4</v>
      </c>
      <c r="D1090" s="43">
        <v>25052.35</v>
      </c>
      <c r="E1090" s="16">
        <f t="shared" si="32"/>
        <v>-1.1740627035073059E-2</v>
      </c>
      <c r="F1090" s="16">
        <f t="shared" si="33"/>
        <v>-3.9599315361235066E-3</v>
      </c>
      <c r="G1090" s="16"/>
    </row>
    <row r="1091" spans="2:7" ht="15" thickBot="1" x14ac:dyDescent="0.4">
      <c r="B1091" s="172">
        <v>5374.5</v>
      </c>
      <c r="D1091" s="43">
        <v>25151.95</v>
      </c>
      <c r="E1091" s="16">
        <f t="shared" si="32"/>
        <v>-1.482934340286679E-2</v>
      </c>
      <c r="F1091" s="16">
        <f t="shared" si="33"/>
        <v>-3.3266101070300591E-3</v>
      </c>
      <c r="G1091" s="16"/>
    </row>
    <row r="1092" spans="2:7" ht="15" thickBot="1" x14ac:dyDescent="0.4">
      <c r="B1092" s="172">
        <v>5455.4</v>
      </c>
      <c r="D1092" s="43">
        <v>25235.9</v>
      </c>
      <c r="E1092" s="16">
        <f t="shared" ref="E1092:E1155" si="34">B1092/B1093-1</f>
        <v>-2.2014269836147848E-2</v>
      </c>
      <c r="F1092" s="16">
        <f t="shared" ref="F1092:F1155" si="35">D1092/D1093-1</f>
        <v>-1.6931250420314514E-3</v>
      </c>
      <c r="G1092" s="16"/>
    </row>
    <row r="1093" spans="2:7" ht="15" thickBot="1" x14ac:dyDescent="0.4">
      <c r="B1093" s="172">
        <v>5578.2</v>
      </c>
      <c r="D1093" s="43">
        <v>25278.7</v>
      </c>
      <c r="E1093" s="16">
        <f t="shared" si="34"/>
        <v>-1.2095988665545065E-2</v>
      </c>
      <c r="F1093" s="16">
        <f t="shared" si="35"/>
        <v>-4.5490776250600717E-5</v>
      </c>
      <c r="G1093" s="16"/>
    </row>
    <row r="1094" spans="2:7" ht="15" thickBot="1" x14ac:dyDescent="0.4">
      <c r="B1094" s="172">
        <v>5646.5</v>
      </c>
      <c r="D1094" s="43">
        <v>25279.85</v>
      </c>
      <c r="E1094" s="16">
        <f t="shared" si="34"/>
        <v>-6.5537717176160637E-3</v>
      </c>
      <c r="F1094" s="16">
        <f t="shared" si="35"/>
        <v>3.220404227202156E-3</v>
      </c>
      <c r="G1094" s="16"/>
    </row>
    <row r="1095" spans="2:7" ht="15" thickBot="1" x14ac:dyDescent="0.4">
      <c r="B1095" s="172">
        <v>5683.75</v>
      </c>
      <c r="D1095" s="43">
        <v>25198.7</v>
      </c>
      <c r="E1095" s="16">
        <f t="shared" si="34"/>
        <v>-8.798088661016279E-3</v>
      </c>
      <c r="F1095" s="16">
        <f t="shared" si="35"/>
        <v>2.1316280309087166E-3</v>
      </c>
      <c r="G1095" s="16"/>
    </row>
    <row r="1096" spans="2:7" ht="15" thickBot="1" x14ac:dyDescent="0.4">
      <c r="B1096" s="172">
        <v>5734.2</v>
      </c>
      <c r="D1096" s="43">
        <v>25145.1</v>
      </c>
      <c r="E1096" s="16">
        <f t="shared" si="34"/>
        <v>-1.6626768226333244E-3</v>
      </c>
      <c r="F1096" s="16">
        <f t="shared" si="35"/>
        <v>1.1787712531913686E-2</v>
      </c>
      <c r="G1096" s="16"/>
    </row>
    <row r="1097" spans="2:7" ht="15" thickBot="1" x14ac:dyDescent="0.4">
      <c r="B1097" s="172">
        <v>5743.75</v>
      </c>
      <c r="D1097" s="43">
        <v>24852.15</v>
      </c>
      <c r="E1097" s="16">
        <f t="shared" si="34"/>
        <v>-2.6978573790759075E-4</v>
      </c>
      <c r="F1097" s="16">
        <f t="shared" si="35"/>
        <v>-3.378595146051544E-3</v>
      </c>
      <c r="G1097" s="16"/>
    </row>
    <row r="1098" spans="2:7" ht="15" thickBot="1" x14ac:dyDescent="0.4">
      <c r="B1098" s="172">
        <v>5745.3</v>
      </c>
      <c r="D1098" s="43">
        <v>24936.400000000001</v>
      </c>
      <c r="E1098" s="16">
        <f t="shared" si="34"/>
        <v>1.3334038838033857E-2</v>
      </c>
      <c r="F1098" s="16">
        <f t="shared" si="35"/>
        <v>-4.1811262284802142E-3</v>
      </c>
      <c r="G1098" s="16"/>
    </row>
    <row r="1099" spans="2:7" ht="15" thickBot="1" x14ac:dyDescent="0.4">
      <c r="B1099" s="172">
        <v>5669.7</v>
      </c>
      <c r="D1099" s="43">
        <v>25041.1</v>
      </c>
      <c r="E1099" s="16">
        <f t="shared" si="34"/>
        <v>2.6969908656013786E-3</v>
      </c>
      <c r="F1099" s="16">
        <f t="shared" si="35"/>
        <v>4.9220557458429237E-3</v>
      </c>
      <c r="G1099" s="16"/>
    </row>
    <row r="1100" spans="2:7" ht="15" thickBot="1" x14ac:dyDescent="0.4">
      <c r="B1100" s="172">
        <v>5654.45</v>
      </c>
      <c r="D1100" s="43">
        <v>24918.45</v>
      </c>
      <c r="E1100" s="16">
        <f t="shared" si="34"/>
        <v>-2.5624014543825346E-2</v>
      </c>
      <c r="F1100" s="16">
        <f t="shared" si="35"/>
        <v>-1.8529751190480948E-2</v>
      </c>
      <c r="G1100" s="16"/>
    </row>
    <row r="1101" spans="2:7" ht="15" thickBot="1" x14ac:dyDescent="0.4">
      <c r="B1101" s="172">
        <v>5803.15</v>
      </c>
      <c r="D1101" s="43">
        <v>25388.9</v>
      </c>
      <c r="E1101" s="16">
        <f t="shared" si="34"/>
        <v>1.2681597018529001E-3</v>
      </c>
      <c r="F1101" s="16">
        <f t="shared" si="35"/>
        <v>1.277778873267188E-3</v>
      </c>
      <c r="G1101" s="16"/>
    </row>
    <row r="1102" spans="2:7" ht="15" thickBot="1" x14ac:dyDescent="0.4">
      <c r="B1102" s="172">
        <v>5795.8</v>
      </c>
      <c r="D1102" s="43">
        <v>25356.5</v>
      </c>
      <c r="E1102" s="16">
        <f t="shared" si="34"/>
        <v>2.8289889176307259E-3</v>
      </c>
      <c r="F1102" s="16">
        <f t="shared" si="35"/>
        <v>-1.0735214458068576E-3</v>
      </c>
      <c r="G1102" s="16"/>
    </row>
    <row r="1103" spans="2:7" ht="15" thickBot="1" x14ac:dyDescent="0.4">
      <c r="B1103" s="172">
        <v>5779.45</v>
      </c>
      <c r="D1103" s="43">
        <v>25383.75</v>
      </c>
      <c r="E1103" s="16">
        <f t="shared" si="34"/>
        <v>-3.0488827752801484E-2</v>
      </c>
      <c r="F1103" s="16">
        <f t="shared" si="35"/>
        <v>-1.3690788813680577E-3</v>
      </c>
      <c r="G1103" s="16"/>
    </row>
    <row r="1104" spans="2:7" ht="15" thickBot="1" x14ac:dyDescent="0.4">
      <c r="B1104" s="172">
        <v>5961.2</v>
      </c>
      <c r="D1104" s="43">
        <v>25418.55</v>
      </c>
      <c r="E1104" s="16">
        <f t="shared" si="34"/>
        <v>-5.9516325076491849E-4</v>
      </c>
      <c r="F1104" s="16">
        <f t="shared" si="35"/>
        <v>1.6156011908163848E-3</v>
      </c>
      <c r="G1104" s="16"/>
    </row>
    <row r="1105" spans="2:7" ht="15" thickBot="1" x14ac:dyDescent="0.4">
      <c r="B1105" s="172">
        <v>5964.75</v>
      </c>
      <c r="D1105" s="43">
        <v>25377.55</v>
      </c>
      <c r="E1105" s="16">
        <f t="shared" si="34"/>
        <v>-6.876399630372787E-3</v>
      </c>
      <c r="F1105" s="16">
        <f t="shared" si="35"/>
        <v>-1.5049693497745098E-3</v>
      </c>
      <c r="G1105" s="16"/>
    </row>
    <row r="1106" spans="2:7" ht="15" thickBot="1" x14ac:dyDescent="0.4">
      <c r="B1106" s="172">
        <v>6006.05</v>
      </c>
      <c r="D1106" s="43">
        <v>25415.8</v>
      </c>
      <c r="E1106" s="16">
        <f t="shared" si="34"/>
        <v>-1.197355839188452E-3</v>
      </c>
      <c r="F1106" s="16">
        <f t="shared" si="35"/>
        <v>-1.4545799980225649E-2</v>
      </c>
      <c r="G1106" s="16"/>
    </row>
    <row r="1107" spans="2:7" ht="15" thickBot="1" x14ac:dyDescent="0.4">
      <c r="B1107" s="172">
        <v>6013.25</v>
      </c>
      <c r="D1107" s="43">
        <v>25790.95</v>
      </c>
      <c r="E1107" s="16">
        <f t="shared" si="34"/>
        <v>-2.8640427748746089E-2</v>
      </c>
      <c r="F1107" s="16">
        <f t="shared" si="35"/>
        <v>-5.7095383215652884E-3</v>
      </c>
      <c r="G1107" s="16"/>
    </row>
    <row r="1108" spans="2:7" ht="15" thickBot="1" x14ac:dyDescent="0.4">
      <c r="B1108" s="172">
        <v>6190.55</v>
      </c>
      <c r="D1108" s="43">
        <v>25939.05</v>
      </c>
      <c r="E1108" s="16">
        <f t="shared" si="34"/>
        <v>1.0487569985146106E-2</v>
      </c>
      <c r="F1108" s="16">
        <f t="shared" si="35"/>
        <v>-5.2042374057537089E-5</v>
      </c>
      <c r="G1108" s="16"/>
    </row>
    <row r="1109" spans="2:7" ht="15" thickBot="1" x14ac:dyDescent="0.4">
      <c r="B1109" s="172">
        <v>6126.3</v>
      </c>
      <c r="D1109" s="43">
        <v>25940.400000000001</v>
      </c>
      <c r="E1109" s="16">
        <f t="shared" si="34"/>
        <v>6.2414795591545502E-3</v>
      </c>
      <c r="F1109" s="16">
        <f t="shared" si="35"/>
        <v>-2.4515317747360044E-3</v>
      </c>
      <c r="G1109" s="16"/>
    </row>
    <row r="1110" spans="2:7" ht="15" thickBot="1" x14ac:dyDescent="0.4">
      <c r="B1110" s="172">
        <v>6088.3</v>
      </c>
      <c r="D1110" s="43">
        <v>26004.15</v>
      </c>
      <c r="E1110" s="16">
        <f t="shared" si="34"/>
        <v>6.089449636037747E-3</v>
      </c>
      <c r="F1110" s="16">
        <f t="shared" si="35"/>
        <v>-8.0828347519934507E-3</v>
      </c>
      <c r="G1110" s="16"/>
    </row>
    <row r="1111" spans="2:7" ht="15" thickBot="1" x14ac:dyDescent="0.4">
      <c r="B1111" s="172">
        <v>6051.45</v>
      </c>
      <c r="D1111" s="43">
        <v>26216.05</v>
      </c>
      <c r="E1111" s="16">
        <f t="shared" si="34"/>
        <v>1.5795613821581567E-2</v>
      </c>
      <c r="F1111" s="16">
        <f t="shared" si="35"/>
        <v>1.4171691377995455E-3</v>
      </c>
      <c r="G1111" s="16"/>
    </row>
    <row r="1112" spans="2:7" ht="15" thickBot="1" x14ac:dyDescent="0.4">
      <c r="B1112" s="172">
        <v>5957.35</v>
      </c>
      <c r="D1112" s="43">
        <v>26178.95</v>
      </c>
      <c r="E1112" s="16">
        <f t="shared" si="34"/>
        <v>4.2880400532175678E-2</v>
      </c>
      <c r="F1112" s="16">
        <f t="shared" si="35"/>
        <v>1.4261444315084582E-2</v>
      </c>
      <c r="G1112" s="16"/>
    </row>
    <row r="1113" spans="2:7" ht="15" thickBot="1" x14ac:dyDescent="0.4">
      <c r="B1113" s="172">
        <v>5712.4</v>
      </c>
      <c r="D1113" s="43">
        <v>25810.85</v>
      </c>
      <c r="E1113" s="16">
        <f t="shared" si="34"/>
        <v>-6.5564077146486044E-3</v>
      </c>
      <c r="F1113" s="16">
        <f t="shared" si="35"/>
        <v>5.4076264977553912E-4</v>
      </c>
      <c r="G1113" s="16"/>
    </row>
    <row r="1114" spans="2:7" ht="15" thickBot="1" x14ac:dyDescent="0.4">
      <c r="B1114" s="172">
        <v>5750.1</v>
      </c>
      <c r="D1114" s="43">
        <v>25796.9</v>
      </c>
      <c r="E1114" s="16">
        <f t="shared" si="34"/>
        <v>1.5425367533442369E-2</v>
      </c>
      <c r="F1114" s="16">
        <f t="shared" si="35"/>
        <v>2.1655359780753392E-2</v>
      </c>
      <c r="G1114" s="16"/>
    </row>
    <row r="1115" spans="2:7" ht="15" thickBot="1" x14ac:dyDescent="0.4">
      <c r="B1115" s="172">
        <v>5662.75</v>
      </c>
      <c r="D1115" s="43">
        <v>25250.1</v>
      </c>
      <c r="E1115" s="16">
        <f t="shared" si="34"/>
        <v>2.5702563916788046E-2</v>
      </c>
      <c r="F1115" s="16">
        <f t="shared" si="35"/>
        <v>9.4145019308724542E-3</v>
      </c>
      <c r="G1115" s="16"/>
    </row>
    <row r="1116" spans="2:7" ht="15" thickBot="1" x14ac:dyDescent="0.4">
      <c r="B1116" s="172">
        <v>5520.85</v>
      </c>
      <c r="D1116" s="43">
        <v>25014.6</v>
      </c>
      <c r="E1116" s="16">
        <f t="shared" si="34"/>
        <v>3.5081022620897517E-3</v>
      </c>
      <c r="F1116" s="16">
        <f t="shared" si="35"/>
        <v>8.8261093130879154E-3</v>
      </c>
      <c r="G1116" s="16"/>
    </row>
    <row r="1117" spans="2:7" ht="15" thickBot="1" x14ac:dyDescent="0.4">
      <c r="B1117" s="172">
        <v>5501.55</v>
      </c>
      <c r="D1117" s="43">
        <v>24795.75</v>
      </c>
      <c r="E1117" s="16">
        <f t="shared" si="34"/>
        <v>-5.1176795030607458E-3</v>
      </c>
      <c r="F1117" s="16">
        <f t="shared" si="35"/>
        <v>-8.6914283087097255E-3</v>
      </c>
      <c r="G1117" s="16"/>
    </row>
    <row r="1118" spans="2:7" ht="15" thickBot="1" x14ac:dyDescent="0.4">
      <c r="B1118" s="172">
        <v>5529.85</v>
      </c>
      <c r="D1118" s="43">
        <v>25013.15</v>
      </c>
      <c r="E1118" s="16">
        <f t="shared" si="34"/>
        <v>-4.4557663918194379E-3</v>
      </c>
      <c r="F1118" s="16">
        <f t="shared" si="35"/>
        <v>1.2489017070325126E-3</v>
      </c>
      <c r="G1118" s="16"/>
    </row>
    <row r="1119" spans="2:7" ht="15" thickBot="1" x14ac:dyDescent="0.4">
      <c r="B1119" s="172">
        <v>5554.6</v>
      </c>
      <c r="D1119" s="43">
        <v>24981.95</v>
      </c>
      <c r="E1119" s="16">
        <f t="shared" si="34"/>
        <v>1.8053188174703472E-2</v>
      </c>
      <c r="F1119" s="16">
        <f t="shared" si="35"/>
        <v>-6.6004092253724167E-4</v>
      </c>
      <c r="G1119" s="16"/>
    </row>
    <row r="1120" spans="2:7" ht="15" thickBot="1" x14ac:dyDescent="0.4">
      <c r="B1120" s="172">
        <v>5456.1</v>
      </c>
      <c r="D1120" s="43">
        <v>24998.45</v>
      </c>
      <c r="E1120" s="16">
        <f t="shared" si="34"/>
        <v>-3.6886218797362869E-3</v>
      </c>
      <c r="F1120" s="16">
        <f t="shared" si="35"/>
        <v>1.3699590414293361E-3</v>
      </c>
      <c r="G1120" s="16"/>
    </row>
    <row r="1121" spans="2:7" ht="15" thickBot="1" x14ac:dyDescent="0.4">
      <c r="B1121" s="172">
        <v>5476.3</v>
      </c>
      <c r="D1121" s="43">
        <v>24964.25</v>
      </c>
      <c r="E1121" s="16">
        <f t="shared" si="34"/>
        <v>-1.4229526492480216E-2</v>
      </c>
      <c r="F1121" s="16">
        <f t="shared" si="35"/>
        <v>-6.514657980456029E-3</v>
      </c>
      <c r="G1121" s="16"/>
    </row>
    <row r="1122" spans="2:7" ht="15" thickBot="1" x14ac:dyDescent="0.4">
      <c r="B1122" s="172">
        <v>5555.35</v>
      </c>
      <c r="D1122" s="43">
        <v>25127.95</v>
      </c>
      <c r="E1122" s="16">
        <f t="shared" si="34"/>
        <v>9.0270903526379342E-3</v>
      </c>
      <c r="F1122" s="16">
        <f t="shared" si="35"/>
        <v>2.8175365711060607E-3</v>
      </c>
      <c r="G1122" s="16"/>
    </row>
    <row r="1123" spans="2:7" ht="15" thickBot="1" x14ac:dyDescent="0.4">
      <c r="B1123" s="172">
        <v>5505.65</v>
      </c>
      <c r="D1123" s="43">
        <v>25057.35</v>
      </c>
      <c r="E1123" s="16">
        <f t="shared" si="34"/>
        <v>1.9904783075840093E-2</v>
      </c>
      <c r="F1123" s="16">
        <f t="shared" si="35"/>
        <v>3.4459559574391285E-3</v>
      </c>
      <c r="G1123" s="16"/>
    </row>
    <row r="1124" spans="2:7" ht="15" thickBot="1" x14ac:dyDescent="0.4">
      <c r="B1124" s="172">
        <v>5398.2</v>
      </c>
      <c r="D1124" s="43">
        <v>24971.3</v>
      </c>
      <c r="E1124" s="16">
        <f t="shared" si="34"/>
        <v>3.4643360262196943E-2</v>
      </c>
      <c r="F1124" s="16">
        <f t="shared" si="35"/>
        <v>8.9475289749230136E-3</v>
      </c>
      <c r="G1124" s="16"/>
    </row>
    <row r="1125" spans="2:7" ht="15" thickBot="1" x14ac:dyDescent="0.4">
      <c r="B1125" s="172">
        <v>5217.45</v>
      </c>
      <c r="D1125" s="43">
        <v>24749.85</v>
      </c>
      <c r="E1125" s="16">
        <f t="shared" si="34"/>
        <v>2.3963805068816235E-4</v>
      </c>
      <c r="F1125" s="16">
        <f t="shared" si="35"/>
        <v>-4.1924756729788681E-3</v>
      </c>
      <c r="G1125" s="16"/>
    </row>
    <row r="1126" spans="2:7" ht="15" thickBot="1" x14ac:dyDescent="0.4">
      <c r="B1126" s="172">
        <v>5216.2</v>
      </c>
      <c r="D1126" s="43">
        <v>24854.05</v>
      </c>
      <c r="E1126" s="16">
        <f t="shared" si="34"/>
        <v>-4.969240307120093E-3</v>
      </c>
      <c r="F1126" s="16">
        <f t="shared" si="35"/>
        <v>2.9437757000294607E-3</v>
      </c>
      <c r="G1126" s="16"/>
    </row>
    <row r="1127" spans="2:7" ht="15" thickBot="1" x14ac:dyDescent="0.4">
      <c r="B1127" s="172">
        <v>5242.25</v>
      </c>
      <c r="D1127" s="43">
        <v>24781.1</v>
      </c>
      <c r="E1127" s="16">
        <f t="shared" si="34"/>
        <v>1.2838594999806663E-2</v>
      </c>
      <c r="F1127" s="16">
        <f t="shared" si="35"/>
        <v>1.2626623787905356E-2</v>
      </c>
      <c r="G1127" s="16"/>
    </row>
    <row r="1128" spans="2:7" ht="15" thickBot="1" x14ac:dyDescent="0.4">
      <c r="B1128" s="172">
        <v>5175.8</v>
      </c>
      <c r="D1128" s="43">
        <v>24472.1</v>
      </c>
      <c r="E1128" s="16">
        <f t="shared" si="34"/>
        <v>5.8495442796899777E-3</v>
      </c>
      <c r="F1128" s="16">
        <f t="shared" si="35"/>
        <v>1.497820793517679E-3</v>
      </c>
      <c r="G1128" s="16"/>
    </row>
    <row r="1129" spans="2:7" ht="15" thickBot="1" x14ac:dyDescent="0.4">
      <c r="B1129" s="172">
        <v>5145.7</v>
      </c>
      <c r="D1129" s="43">
        <v>24435.5</v>
      </c>
      <c r="E1129" s="16">
        <f t="shared" si="34"/>
        <v>6.2773779724654144E-3</v>
      </c>
      <c r="F1129" s="16">
        <f t="shared" si="35"/>
        <v>1.4795445789650419E-3</v>
      </c>
      <c r="G1129" s="16"/>
    </row>
    <row r="1130" spans="2:7" ht="15" thickBot="1" x14ac:dyDescent="0.4">
      <c r="B1130" s="172">
        <v>5113.6000000000004</v>
      </c>
      <c r="D1130" s="43">
        <v>24399.4</v>
      </c>
      <c r="E1130" s="16">
        <f t="shared" si="34"/>
        <v>2.8210644843464028E-2</v>
      </c>
      <c r="F1130" s="16">
        <f t="shared" si="35"/>
        <v>9.0402302653345146E-3</v>
      </c>
      <c r="G1130" s="16"/>
    </row>
    <row r="1131" spans="2:7" ht="15" thickBot="1" x14ac:dyDescent="0.4">
      <c r="B1131" s="172">
        <v>4973.3</v>
      </c>
      <c r="D1131" s="43">
        <v>24180.799999999999</v>
      </c>
      <c r="E1131" s="16">
        <f t="shared" si="34"/>
        <v>9.2333292747270868E-3</v>
      </c>
      <c r="F1131" s="16">
        <f t="shared" si="35"/>
        <v>-6.5059790502134396E-3</v>
      </c>
      <c r="G1131" s="16"/>
    </row>
    <row r="1132" spans="2:7" ht="15" thickBot="1" x14ac:dyDescent="0.4">
      <c r="B1132" s="172">
        <v>4927.8</v>
      </c>
      <c r="D1132" s="43">
        <v>24339.15</v>
      </c>
      <c r="E1132" s="16">
        <f t="shared" si="34"/>
        <v>2.9316233067708364E-2</v>
      </c>
      <c r="F1132" s="16">
        <f t="shared" si="35"/>
        <v>-5.2193069397979963E-3</v>
      </c>
      <c r="G1132" s="16"/>
    </row>
    <row r="1133" spans="2:7" ht="15" thickBot="1" x14ac:dyDescent="0.4">
      <c r="B1133" s="172">
        <v>4787.45</v>
      </c>
      <c r="D1133" s="43">
        <v>24466.85</v>
      </c>
      <c r="E1133" s="16">
        <f t="shared" si="34"/>
        <v>-2.4820239137962719E-2</v>
      </c>
      <c r="F1133" s="16">
        <f t="shared" si="35"/>
        <v>5.1764831548610779E-3</v>
      </c>
      <c r="G1133" s="16"/>
    </row>
    <row r="1134" spans="2:7" ht="15" thickBot="1" x14ac:dyDescent="0.4">
      <c r="B1134" s="172">
        <v>4909.3</v>
      </c>
      <c r="D1134" s="43">
        <v>24340.85</v>
      </c>
      <c r="E1134" s="16">
        <f t="shared" si="34"/>
        <v>-1.6083614754837661E-2</v>
      </c>
      <c r="F1134" s="16">
        <f t="shared" si="35"/>
        <v>5.5979359934890116E-3</v>
      </c>
      <c r="G1134" s="16"/>
    </row>
    <row r="1135" spans="2:7" ht="15" thickBot="1" x14ac:dyDescent="0.4">
      <c r="B1135" s="172">
        <v>4989.55</v>
      </c>
      <c r="D1135" s="43">
        <v>24205.35</v>
      </c>
      <c r="E1135" s="16">
        <f t="shared" si="34"/>
        <v>3.8181042644167329E-2</v>
      </c>
      <c r="F1135" s="16">
        <f t="shared" si="35"/>
        <v>8.7516956410305102E-3</v>
      </c>
      <c r="G1135" s="16"/>
    </row>
    <row r="1136" spans="2:7" ht="15" thickBot="1" x14ac:dyDescent="0.4">
      <c r="B1136" s="172">
        <v>4806.05</v>
      </c>
      <c r="D1136" s="43">
        <v>23995.35</v>
      </c>
      <c r="E1136" s="16">
        <f t="shared" si="34"/>
        <v>-3.0389777418216024E-3</v>
      </c>
      <c r="F1136" s="16">
        <f t="shared" si="35"/>
        <v>-9.0012513783747083E-3</v>
      </c>
      <c r="G1136" s="16"/>
    </row>
    <row r="1137" spans="2:7" ht="15" thickBot="1" x14ac:dyDescent="0.4">
      <c r="B1137" s="172">
        <v>4820.7</v>
      </c>
      <c r="D1137" s="43">
        <v>24213.3</v>
      </c>
      <c r="E1137" s="16">
        <f t="shared" si="34"/>
        <v>-1.4735938521909797E-2</v>
      </c>
      <c r="F1137" s="16">
        <f t="shared" si="35"/>
        <v>-1.1058219534758384E-2</v>
      </c>
      <c r="G1137" s="16"/>
    </row>
    <row r="1138" spans="2:7" ht="15" thickBot="1" x14ac:dyDescent="0.4">
      <c r="B1138" s="172">
        <v>4892.8</v>
      </c>
      <c r="D1138" s="43">
        <v>24484.05</v>
      </c>
      <c r="E1138" s="16">
        <f t="shared" si="34"/>
        <v>1.5946843853820614E-2</v>
      </c>
      <c r="F1138" s="16">
        <f t="shared" si="35"/>
        <v>1.1764778806042431E-2</v>
      </c>
      <c r="G1138" s="16"/>
    </row>
    <row r="1139" spans="2:7" ht="15" thickBot="1" x14ac:dyDescent="0.4">
      <c r="B1139" s="172">
        <v>4816</v>
      </c>
      <c r="D1139" s="43">
        <v>24199.35</v>
      </c>
      <c r="E1139" s="16">
        <f t="shared" si="34"/>
        <v>9.8764914340834231E-3</v>
      </c>
      <c r="F1139" s="16">
        <f t="shared" si="35"/>
        <v>2.1181702984072182E-3</v>
      </c>
      <c r="G1139" s="16"/>
    </row>
    <row r="1140" spans="2:7" ht="15" thickBot="1" x14ac:dyDescent="0.4">
      <c r="B1140" s="172">
        <v>4768.8999999999996</v>
      </c>
      <c r="D1140" s="43">
        <v>24148.2</v>
      </c>
      <c r="E1140" s="16">
        <f t="shared" si="34"/>
        <v>2.3962165002626712E-3</v>
      </c>
      <c r="F1140" s="16">
        <f t="shared" si="35"/>
        <v>2.8581725093523858E-4</v>
      </c>
      <c r="G1140" s="16"/>
    </row>
    <row r="1141" spans="2:7" ht="15" thickBot="1" x14ac:dyDescent="0.4">
      <c r="B1141" s="172">
        <v>4757.5</v>
      </c>
      <c r="D1141" s="43">
        <v>24141.3</v>
      </c>
      <c r="E1141" s="16">
        <f t="shared" si="34"/>
        <v>7.0488124973540067E-3</v>
      </c>
      <c r="F1141" s="16">
        <f t="shared" si="35"/>
        <v>1.0796178943996759E-2</v>
      </c>
      <c r="G1141" s="16"/>
    </row>
    <row r="1142" spans="2:7" ht="15" thickBot="1" x14ac:dyDescent="0.4">
      <c r="B1142" s="172">
        <v>4724.2</v>
      </c>
      <c r="D1142" s="43">
        <v>23883.45</v>
      </c>
      <c r="E1142" s="16">
        <f t="shared" si="34"/>
        <v>4.5269492875475548E-2</v>
      </c>
      <c r="F1142" s="16">
        <f t="shared" si="35"/>
        <v>1.3769655397819491E-2</v>
      </c>
      <c r="G1142" s="16"/>
    </row>
    <row r="1143" spans="2:7" ht="15" thickBot="1" x14ac:dyDescent="0.4">
      <c r="B1143" s="172">
        <v>4519.6000000000004</v>
      </c>
      <c r="D1143" s="43">
        <v>23559.05</v>
      </c>
      <c r="E1143" s="16">
        <f t="shared" si="34"/>
        <v>-1.8331885317115493E-2</v>
      </c>
      <c r="F1143" s="16">
        <f t="shared" si="35"/>
        <v>1.1197185193367876E-3</v>
      </c>
      <c r="G1143" s="16"/>
    </row>
    <row r="1144" spans="2:7" ht="15" thickBot="1" x14ac:dyDescent="0.4">
      <c r="B1144" s="172">
        <v>4604</v>
      </c>
      <c r="D1144" s="43">
        <v>23532.7</v>
      </c>
      <c r="E1144" s="16">
        <f t="shared" si="34"/>
        <v>-2.7255440523980545E-2</v>
      </c>
      <c r="F1144" s="16">
        <f t="shared" si="35"/>
        <v>3.3640604081215386E-3</v>
      </c>
      <c r="G1144" s="16"/>
    </row>
    <row r="1145" spans="2:7" ht="15" thickBot="1" x14ac:dyDescent="0.4">
      <c r="B1145" s="172">
        <v>4733</v>
      </c>
      <c r="D1145" s="43">
        <v>23453.8</v>
      </c>
      <c r="E1145" s="16">
        <f t="shared" si="34"/>
        <v>-8.9618493236736096E-3</v>
      </c>
      <c r="F1145" s="16">
        <f t="shared" si="35"/>
        <v>-2.7510257882092937E-3</v>
      </c>
      <c r="G1145" s="16"/>
    </row>
    <row r="1146" spans="2:7" ht="15" thickBot="1" x14ac:dyDescent="0.4">
      <c r="B1146" s="172">
        <v>4775.8</v>
      </c>
      <c r="D1146" s="43">
        <v>23518.5</v>
      </c>
      <c r="E1146" s="16">
        <f t="shared" si="34"/>
        <v>1.6674182283418215E-3</v>
      </c>
      <c r="F1146" s="16">
        <f t="shared" si="35"/>
        <v>7.220587668469669E-3</v>
      </c>
      <c r="G1146" s="16"/>
    </row>
    <row r="1147" spans="2:7" ht="15" thickBot="1" x14ac:dyDescent="0.4">
      <c r="B1147" s="172">
        <v>4767.8500000000004</v>
      </c>
      <c r="D1147" s="43">
        <v>23349.9</v>
      </c>
      <c r="E1147" s="16">
        <f t="shared" si="34"/>
        <v>-5.4754802778415046E-3</v>
      </c>
      <c r="F1147" s="16">
        <f t="shared" si="35"/>
        <v>-2.3313011743299583E-2</v>
      </c>
      <c r="G1147" s="16"/>
    </row>
    <row r="1148" spans="2:7" ht="15" thickBot="1" x14ac:dyDescent="0.4">
      <c r="B1148" s="172">
        <v>4794.1000000000004</v>
      </c>
      <c r="D1148" s="43">
        <v>23907.25</v>
      </c>
      <c r="E1148" s="16">
        <f t="shared" si="34"/>
        <v>-1.3214498898791671E-2</v>
      </c>
      <c r="F1148" s="16">
        <f t="shared" si="35"/>
        <v>-1.2990310421560736E-2</v>
      </c>
      <c r="G1148" s="16"/>
    </row>
    <row r="1149" spans="2:7" ht="15" thickBot="1" x14ac:dyDescent="0.4">
      <c r="B1149" s="172">
        <v>4858.3</v>
      </c>
      <c r="D1149" s="43">
        <v>24221.9</v>
      </c>
      <c r="E1149" s="16">
        <f t="shared" si="34"/>
        <v>4.050674768016238E-3</v>
      </c>
      <c r="F1149" s="16">
        <f t="shared" si="35"/>
        <v>1.1324887887744772E-3</v>
      </c>
      <c r="G1149" s="16"/>
    </row>
    <row r="1150" spans="2:7" ht="15" thickBot="1" x14ac:dyDescent="0.4">
      <c r="B1150" s="172">
        <v>4838.7</v>
      </c>
      <c r="D1150" s="43">
        <v>24194.5</v>
      </c>
      <c r="E1150" s="16">
        <f t="shared" si="34"/>
        <v>-6.6820631254811413E-3</v>
      </c>
      <c r="F1150" s="16">
        <f t="shared" si="35"/>
        <v>-3.3120630774998716E-3</v>
      </c>
      <c r="G1150" s="16"/>
    </row>
    <row r="1151" spans="2:7" ht="15" thickBot="1" x14ac:dyDescent="0.4">
      <c r="B1151" s="172">
        <v>4871.25</v>
      </c>
      <c r="D1151" s="43">
        <v>24274.9</v>
      </c>
      <c r="E1151" s="16">
        <f t="shared" si="34"/>
        <v>1.8344308560677369E-2</v>
      </c>
      <c r="F1151" s="16">
        <f t="shared" si="35"/>
        <v>1.5085211057052073E-2</v>
      </c>
      <c r="G1151" s="16"/>
    </row>
    <row r="1152" spans="2:7" ht="15" thickBot="1" x14ac:dyDescent="0.4">
      <c r="B1152" s="172">
        <v>4783.5</v>
      </c>
      <c r="D1152" s="43">
        <v>23914.15</v>
      </c>
      <c r="E1152" s="16">
        <f t="shared" si="34"/>
        <v>4.5781968624651892E-3</v>
      </c>
      <c r="F1152" s="16">
        <f t="shared" si="35"/>
        <v>-8.9904728752521201E-3</v>
      </c>
      <c r="G1152" s="16"/>
    </row>
    <row r="1153" spans="2:7" ht="15" thickBot="1" x14ac:dyDescent="0.4">
      <c r="B1153" s="172">
        <v>4761.7</v>
      </c>
      <c r="D1153" s="43">
        <v>24131.1</v>
      </c>
      <c r="E1153" s="16">
        <f t="shared" si="34"/>
        <v>2.7903842306435944E-3</v>
      </c>
      <c r="F1153" s="16">
        <f t="shared" si="35"/>
        <v>-5.9709054809163886E-3</v>
      </c>
      <c r="G1153" s="16"/>
    </row>
    <row r="1154" spans="2:7" ht="15" thickBot="1" x14ac:dyDescent="0.4">
      <c r="B1154" s="172">
        <v>4748.45</v>
      </c>
      <c r="D1154" s="43">
        <v>24276.05</v>
      </c>
      <c r="E1154" s="16">
        <f t="shared" si="34"/>
        <v>1.0953800298062477E-2</v>
      </c>
      <c r="F1154" s="16">
        <f t="shared" si="35"/>
        <v>-7.4047875570130151E-3</v>
      </c>
      <c r="G1154" s="16"/>
    </row>
    <row r="1155" spans="2:7" ht="15" thickBot="1" x14ac:dyDescent="0.4">
      <c r="B1155" s="172">
        <v>4697</v>
      </c>
      <c r="D1155" s="43">
        <v>24457.15</v>
      </c>
      <c r="E1155" s="16">
        <f t="shared" si="34"/>
        <v>1.3190677006374107E-2</v>
      </c>
      <c r="F1155" s="16">
        <f t="shared" si="35"/>
        <v>-4.2096744858988178E-4</v>
      </c>
      <c r="G1155" s="16"/>
    </row>
    <row r="1156" spans="2:7" ht="15" thickBot="1" x14ac:dyDescent="0.4">
      <c r="B1156" s="172">
        <v>4635.8500000000004</v>
      </c>
      <c r="D1156" s="43">
        <v>24467.45</v>
      </c>
      <c r="E1156" s="16">
        <f t="shared" ref="E1156:E1219" si="36">B1156/B1157-1</f>
        <v>-1.8301807572641549E-3</v>
      </c>
      <c r="F1156" s="16">
        <f t="shared" ref="F1156:F1219" si="37">D1156/D1157-1</f>
        <v>-9.7517443460524156E-3</v>
      </c>
      <c r="G1156" s="16"/>
    </row>
    <row r="1157" spans="2:7" ht="15" thickBot="1" x14ac:dyDescent="0.4">
      <c r="B1157" s="172">
        <v>4644.3500000000004</v>
      </c>
      <c r="D1157" s="43">
        <v>24708.400000000001</v>
      </c>
      <c r="E1157" s="16">
        <f t="shared" si="36"/>
        <v>3.1860203905305085E-3</v>
      </c>
      <c r="F1157" s="16">
        <f t="shared" si="37"/>
        <v>1.239980873497748E-3</v>
      </c>
      <c r="G1157" s="16"/>
    </row>
    <row r="1158" spans="2:7" ht="15" thickBot="1" x14ac:dyDescent="0.4">
      <c r="B1158" s="172">
        <v>4629.6000000000004</v>
      </c>
      <c r="D1158" s="43">
        <v>24677.8</v>
      </c>
      <c r="E1158" s="16">
        <f t="shared" si="36"/>
        <v>7.3216636386383982E-3</v>
      </c>
      <c r="F1158" s="16">
        <f t="shared" si="37"/>
        <v>2.3883992038669088E-3</v>
      </c>
      <c r="G1158" s="16"/>
    </row>
    <row r="1159" spans="2:7" ht="15" thickBot="1" x14ac:dyDescent="0.4">
      <c r="B1159" s="172">
        <v>4595.95</v>
      </c>
      <c r="D1159" s="43">
        <v>24619</v>
      </c>
      <c r="E1159" s="16">
        <f t="shared" si="36"/>
        <v>1.66728417932549E-3</v>
      </c>
      <c r="F1159" s="16">
        <f t="shared" si="37"/>
        <v>3.6367256466363074E-4</v>
      </c>
      <c r="G1159" s="16"/>
    </row>
    <row r="1160" spans="2:7" ht="15" thickBot="1" x14ac:dyDescent="0.4">
      <c r="B1160" s="172">
        <v>4588.3</v>
      </c>
      <c r="D1160" s="43">
        <v>24610.05</v>
      </c>
      <c r="E1160" s="16">
        <f t="shared" si="36"/>
        <v>-1.3364298078680448E-2</v>
      </c>
      <c r="F1160" s="16">
        <f t="shared" si="37"/>
        <v>-1.2884610702140753E-3</v>
      </c>
      <c r="G1160" s="16"/>
    </row>
    <row r="1161" spans="2:7" ht="15" thickBot="1" x14ac:dyDescent="0.4">
      <c r="B1161" s="172">
        <v>4650.45</v>
      </c>
      <c r="D1161" s="43">
        <v>24641.8</v>
      </c>
      <c r="E1161" s="16">
        <f t="shared" si="36"/>
        <v>2.0562901190541494E-2</v>
      </c>
      <c r="F1161" s="16">
        <f t="shared" si="37"/>
        <v>3.7924615152735708E-3</v>
      </c>
      <c r="G1161" s="16"/>
    </row>
    <row r="1162" spans="2:7" ht="15" thickBot="1" x14ac:dyDescent="0.4">
      <c r="B1162" s="172">
        <v>4556.75</v>
      </c>
      <c r="D1162" s="43">
        <v>24548.7</v>
      </c>
      <c r="E1162" s="16">
        <f t="shared" si="36"/>
        <v>-4.0870296910685555E-3</v>
      </c>
      <c r="F1162" s="16">
        <f t="shared" si="37"/>
        <v>-8.8661716791220702E-3</v>
      </c>
      <c r="G1162" s="16"/>
    </row>
    <row r="1163" spans="2:7" ht="15" thickBot="1" x14ac:dyDescent="0.4">
      <c r="B1163" s="172">
        <v>4575.45</v>
      </c>
      <c r="D1163" s="43">
        <v>24768.3</v>
      </c>
      <c r="E1163" s="16">
        <f t="shared" si="36"/>
        <v>8.0304031725049185E-3</v>
      </c>
      <c r="F1163" s="16">
        <f t="shared" si="37"/>
        <v>4.0558207412362268E-3</v>
      </c>
      <c r="G1163" s="16"/>
    </row>
    <row r="1164" spans="2:7" ht="15" thickBot="1" x14ac:dyDescent="0.4">
      <c r="B1164" s="172">
        <v>4539</v>
      </c>
      <c r="D1164" s="43">
        <v>24668.25</v>
      </c>
      <c r="E1164" s="16">
        <f t="shared" si="36"/>
        <v>2.8062784534891527E-2</v>
      </c>
      <c r="F1164" s="16">
        <f t="shared" si="37"/>
        <v>1.3652613412228787E-2</v>
      </c>
      <c r="G1164" s="16"/>
    </row>
    <row r="1165" spans="2:7" ht="15" thickBot="1" x14ac:dyDescent="0.4">
      <c r="B1165" s="172">
        <v>4415.1000000000004</v>
      </c>
      <c r="D1165" s="43">
        <v>24336</v>
      </c>
      <c r="E1165" s="16">
        <f t="shared" si="36"/>
        <v>5.8435567098384933E-3</v>
      </c>
      <c r="F1165" s="16">
        <f t="shared" si="37"/>
        <v>5.6676247011737679E-3</v>
      </c>
      <c r="G1165" s="16"/>
    </row>
    <row r="1166" spans="2:7" ht="15" thickBot="1" x14ac:dyDescent="0.4">
      <c r="B1166" s="172">
        <v>4389.45</v>
      </c>
      <c r="D1166" s="43">
        <v>24198.85</v>
      </c>
      <c r="E1166" s="16">
        <f t="shared" si="36"/>
        <v>-3.9710003517171577E-3</v>
      </c>
      <c r="F1166" s="16">
        <f t="shared" si="37"/>
        <v>1.0318683016236729E-2</v>
      </c>
      <c r="G1166" s="16"/>
    </row>
    <row r="1167" spans="2:7" ht="15" thickBot="1" x14ac:dyDescent="0.4">
      <c r="B1167" s="172">
        <v>4406.95</v>
      </c>
      <c r="D1167" s="43">
        <v>23951.7</v>
      </c>
      <c r="E1167" s="16">
        <f t="shared" si="36"/>
        <v>1.5437965875182869E-2</v>
      </c>
      <c r="F1167" s="16">
        <f t="shared" si="37"/>
        <v>1.5440381558028626E-2</v>
      </c>
      <c r="G1167" s="16"/>
    </row>
    <row r="1168" spans="2:7" ht="15" thickBot="1" x14ac:dyDescent="0.4">
      <c r="B1168" s="172">
        <v>4339.95</v>
      </c>
      <c r="D1168" s="43">
        <v>23587.5</v>
      </c>
      <c r="E1168" s="16">
        <f t="shared" si="36"/>
        <v>1.5763235500631856E-2</v>
      </c>
      <c r="F1168" s="16">
        <f t="shared" si="37"/>
        <v>-6.9863535612721961E-3</v>
      </c>
      <c r="G1168" s="16"/>
    </row>
    <row r="1169" spans="2:7" ht="15" thickBot="1" x14ac:dyDescent="0.4">
      <c r="B1169" s="172">
        <v>4272.6000000000004</v>
      </c>
      <c r="D1169" s="43">
        <v>23753.45</v>
      </c>
      <c r="E1169" s="16">
        <f t="shared" si="36"/>
        <v>3.1696837360004615E-3</v>
      </c>
      <c r="F1169" s="16">
        <f t="shared" si="37"/>
        <v>1.0873390327317267E-3</v>
      </c>
      <c r="G1169" s="16"/>
    </row>
    <row r="1170" spans="2:7" ht="15" thickBot="1" x14ac:dyDescent="0.4">
      <c r="B1170" s="172">
        <v>4259.1000000000004</v>
      </c>
      <c r="D1170" s="43">
        <v>23727.65</v>
      </c>
      <c r="E1170" s="16">
        <f t="shared" si="36"/>
        <v>-3.7192982456139001E-3</v>
      </c>
      <c r="F1170" s="16">
        <f t="shared" si="37"/>
        <v>-9.4946568870990511E-4</v>
      </c>
      <c r="G1170" s="16"/>
    </row>
    <row r="1171" spans="2:7" ht="15" thickBot="1" x14ac:dyDescent="0.4">
      <c r="B1171" s="172">
        <v>4275</v>
      </c>
      <c r="D1171" s="43">
        <v>23750.2</v>
      </c>
      <c r="E1171" s="16">
        <f t="shared" si="36"/>
        <v>8.7424344317417191E-3</v>
      </c>
      <c r="F1171" s="16">
        <f t="shared" si="37"/>
        <v>-2.6539679340203959E-3</v>
      </c>
      <c r="G1171" s="16"/>
    </row>
    <row r="1172" spans="2:7" ht="15" thickBot="1" x14ac:dyDescent="0.4">
      <c r="B1172" s="172">
        <v>4237.95</v>
      </c>
      <c r="D1172" s="43">
        <v>23813.4</v>
      </c>
      <c r="E1172" s="16">
        <f t="shared" si="36"/>
        <v>1.2023593466424565E-2</v>
      </c>
      <c r="F1172" s="16">
        <f t="shared" si="37"/>
        <v>7.126272473133799E-3</v>
      </c>
      <c r="G1172" s="16"/>
    </row>
    <row r="1173" spans="2:7" ht="15" thickBot="1" x14ac:dyDescent="0.4">
      <c r="B1173" s="172">
        <v>4187.6000000000004</v>
      </c>
      <c r="D1173" s="43">
        <v>23644.9</v>
      </c>
      <c r="E1173" s="16">
        <f t="shared" si="36"/>
        <v>6.4894486372157889E-3</v>
      </c>
      <c r="F1173" s="16">
        <f t="shared" si="37"/>
        <v>4.2292597104420793E-6</v>
      </c>
      <c r="G1173" s="16"/>
    </row>
    <row r="1174" spans="2:7" ht="15" thickBot="1" x14ac:dyDescent="0.4">
      <c r="B1174" s="172">
        <v>4160.6000000000004</v>
      </c>
      <c r="D1174" s="43">
        <v>23644.799999999999</v>
      </c>
      <c r="E1174" s="16">
        <f t="shared" si="36"/>
        <v>-5.6759114318830628E-3</v>
      </c>
      <c r="F1174" s="16">
        <f t="shared" si="37"/>
        <v>-4.1317614950154846E-3</v>
      </c>
      <c r="G1174" s="16"/>
    </row>
    <row r="1175" spans="2:7" ht="15" thickBot="1" x14ac:dyDescent="0.4">
      <c r="B1175" s="172">
        <v>4184.3500000000004</v>
      </c>
      <c r="D1175" s="43">
        <v>23742.9</v>
      </c>
      <c r="E1175" s="16">
        <f t="shared" si="36"/>
        <v>-2.9490896439754111E-2</v>
      </c>
      <c r="F1175" s="16">
        <f t="shared" si="37"/>
        <v>-1.8428064402105981E-2</v>
      </c>
      <c r="G1175" s="16"/>
    </row>
    <row r="1176" spans="2:7" ht="15" thickBot="1" x14ac:dyDescent="0.4">
      <c r="B1176" s="172">
        <v>4311.5</v>
      </c>
      <c r="D1176" s="43">
        <v>24188.65</v>
      </c>
      <c r="E1176" s="16">
        <f t="shared" si="36"/>
        <v>1.6120289411043709E-2</v>
      </c>
      <c r="F1176" s="16">
        <f t="shared" si="37"/>
        <v>7.6609837636301137E-3</v>
      </c>
      <c r="G1176" s="16"/>
    </row>
    <row r="1177" spans="2:7" ht="15" thickBot="1" x14ac:dyDescent="0.4">
      <c r="B1177" s="172">
        <v>4243.1000000000004</v>
      </c>
      <c r="D1177" s="43">
        <v>24004.75</v>
      </c>
      <c r="E1177" s="16">
        <f t="shared" si="36"/>
        <v>9.5888455315504828E-3</v>
      </c>
      <c r="F1177" s="16">
        <f t="shared" si="37"/>
        <v>1.6459145369356998E-2</v>
      </c>
      <c r="G1177" s="16"/>
    </row>
    <row r="1178" spans="2:7" ht="15" thickBot="1" x14ac:dyDescent="0.4">
      <c r="B1178" s="172">
        <v>4202.8</v>
      </c>
      <c r="D1178" s="43">
        <v>23616.05</v>
      </c>
      <c r="E1178" s="16">
        <f t="shared" si="36"/>
        <v>9.7908482598718649E-3</v>
      </c>
      <c r="F1178" s="16">
        <f t="shared" si="37"/>
        <v>-3.8742360141557075E-3</v>
      </c>
      <c r="G1178" s="16"/>
    </row>
    <row r="1179" spans="2:7" ht="15" thickBot="1" x14ac:dyDescent="0.4">
      <c r="B1179" s="172">
        <v>4162.05</v>
      </c>
      <c r="D1179" s="43">
        <v>23707.9</v>
      </c>
      <c r="E1179" s="16">
        <f t="shared" si="36"/>
        <v>5.787680336386325E-3</v>
      </c>
      <c r="F1179" s="16">
        <f t="shared" si="37"/>
        <v>7.9995103202135098E-4</v>
      </c>
      <c r="G1179" s="16"/>
    </row>
    <row r="1180" spans="2:7" ht="15" thickBot="1" x14ac:dyDescent="0.4">
      <c r="B1180" s="172">
        <v>4138.1000000000004</v>
      </c>
      <c r="D1180" s="43">
        <v>23688.95</v>
      </c>
      <c r="E1180" s="16">
        <f t="shared" si="36"/>
        <v>-7.6063990341068699E-4</v>
      </c>
      <c r="F1180" s="16">
        <f t="shared" si="37"/>
        <v>6.9049794912121598E-3</v>
      </c>
      <c r="G1180" s="16"/>
    </row>
    <row r="1181" spans="2:7" ht="15" thickBot="1" x14ac:dyDescent="0.4">
      <c r="B1181" s="172">
        <v>4141.25</v>
      </c>
      <c r="D1181" s="43">
        <v>23526.5</v>
      </c>
      <c r="E1181" s="16">
        <f t="shared" si="36"/>
        <v>4.6213187133083977E-3</v>
      </c>
      <c r="F1181" s="16">
        <f t="shared" si="37"/>
        <v>4.0543712523739561E-3</v>
      </c>
      <c r="G1181" s="16"/>
    </row>
    <row r="1182" spans="2:7" ht="15" thickBot="1" x14ac:dyDescent="0.4">
      <c r="B1182" s="172">
        <v>4122.2</v>
      </c>
      <c r="D1182" s="43">
        <v>23431.5</v>
      </c>
      <c r="E1182" s="16">
        <f t="shared" si="36"/>
        <v>1.9425519023654303E-2</v>
      </c>
      <c r="F1182" s="16">
        <f t="shared" si="37"/>
        <v>1.4967978359131884E-2</v>
      </c>
      <c r="G1182" s="16"/>
    </row>
    <row r="1183" spans="2:7" ht="15" thickBot="1" x14ac:dyDescent="0.4">
      <c r="B1183" s="172">
        <v>4043.65</v>
      </c>
      <c r="D1183" s="43">
        <v>23085.95</v>
      </c>
      <c r="E1183" s="16">
        <f t="shared" si="36"/>
        <v>-1.4380948898882306E-2</v>
      </c>
      <c r="F1183" s="16">
        <f t="shared" si="37"/>
        <v>-3.887634001479956E-3</v>
      </c>
      <c r="G1183" s="16"/>
    </row>
    <row r="1184" spans="2:7" ht="15" thickBot="1" x14ac:dyDescent="0.4">
      <c r="B1184" s="172">
        <v>4102.6499999999996</v>
      </c>
      <c r="D1184" s="43">
        <v>23176.05</v>
      </c>
      <c r="E1184" s="16">
        <f t="shared" si="36"/>
        <v>-2.249568326077922E-3</v>
      </c>
      <c r="F1184" s="16">
        <f t="shared" si="37"/>
        <v>-1.6003825409681705E-3</v>
      </c>
      <c r="G1184" s="16"/>
    </row>
    <row r="1185" spans="2:7" ht="15" thickBot="1" x14ac:dyDescent="0.4">
      <c r="B1185" s="172">
        <v>4111.8999999999996</v>
      </c>
      <c r="D1185" s="43">
        <v>23213.200000000001</v>
      </c>
      <c r="E1185" s="16">
        <f t="shared" si="36"/>
        <v>9.2781227755822648E-3</v>
      </c>
      <c r="F1185" s="16">
        <f t="shared" si="37"/>
        <v>-4.2296176185450118E-3</v>
      </c>
      <c r="G1185" s="16"/>
    </row>
    <row r="1186" spans="2:7" ht="15" thickBot="1" x14ac:dyDescent="0.4">
      <c r="B1186" s="172">
        <v>4074.1</v>
      </c>
      <c r="D1186" s="43">
        <v>23311.8</v>
      </c>
      <c r="E1186" s="16">
        <f t="shared" si="36"/>
        <v>-5.8321132259638864E-3</v>
      </c>
      <c r="F1186" s="16">
        <f t="shared" si="37"/>
        <v>4.680388911874056E-3</v>
      </c>
      <c r="G1186" s="16"/>
    </row>
    <row r="1187" spans="2:7" ht="15" thickBot="1" x14ac:dyDescent="0.4">
      <c r="B1187" s="172">
        <v>4098</v>
      </c>
      <c r="D1187" s="43">
        <v>23203.200000000001</v>
      </c>
      <c r="E1187" s="16">
        <f t="shared" si="36"/>
        <v>1.4418024974951482E-3</v>
      </c>
      <c r="F1187" s="16">
        <f t="shared" si="37"/>
        <v>-6.0634618061876644E-3</v>
      </c>
      <c r="G1187" s="16"/>
    </row>
    <row r="1188" spans="2:7" ht="15" thickBot="1" x14ac:dyDescent="0.4">
      <c r="B1188" s="172">
        <v>4092.1</v>
      </c>
      <c r="D1188" s="43">
        <v>23344.75</v>
      </c>
      <c r="E1188" s="16">
        <f t="shared" si="36"/>
        <v>1.67213277678393E-2</v>
      </c>
      <c r="F1188" s="16">
        <f t="shared" si="37"/>
        <v>1.3902491460239252E-2</v>
      </c>
      <c r="G1188" s="16"/>
    </row>
    <row r="1189" spans="2:7" ht="15" thickBot="1" x14ac:dyDescent="0.4">
      <c r="B1189" s="172">
        <v>4024.8</v>
      </c>
      <c r="D1189" s="43">
        <v>23024.65</v>
      </c>
      <c r="E1189" s="16">
        <f t="shared" si="36"/>
        <v>-7.6189067238700003E-3</v>
      </c>
      <c r="F1189" s="16">
        <f t="shared" si="37"/>
        <v>-5.6444838881726245E-3</v>
      </c>
      <c r="G1189" s="16"/>
    </row>
    <row r="1190" spans="2:7" ht="15" thickBot="1" x14ac:dyDescent="0.4">
      <c r="B1190" s="172">
        <v>4055.7</v>
      </c>
      <c r="D1190" s="43">
        <v>23155.35</v>
      </c>
      <c r="E1190" s="16">
        <f t="shared" si="36"/>
        <v>-1.0889314326825938E-2</v>
      </c>
      <c r="F1190" s="16">
        <f t="shared" si="37"/>
        <v>-2.1546755381840477E-3</v>
      </c>
      <c r="G1190" s="16"/>
    </row>
    <row r="1191" spans="2:7" ht="15" thickBot="1" x14ac:dyDescent="0.4">
      <c r="B1191" s="172">
        <v>4100.3500000000004</v>
      </c>
      <c r="D1191" s="43">
        <v>23205.35</v>
      </c>
      <c r="E1191" s="16">
        <f t="shared" si="36"/>
        <v>1.1957353340408261E-2</v>
      </c>
      <c r="F1191" s="16">
        <f t="shared" si="37"/>
        <v>4.8999229176951431E-3</v>
      </c>
      <c r="G1191" s="16"/>
    </row>
    <row r="1192" spans="2:7" ht="15" thickBot="1" x14ac:dyDescent="0.4">
      <c r="B1192" s="172">
        <v>4051.9</v>
      </c>
      <c r="D1192" s="43">
        <v>23092.2</v>
      </c>
      <c r="E1192" s="16">
        <f t="shared" si="36"/>
        <v>8.951804678843267E-3</v>
      </c>
      <c r="F1192" s="16">
        <f t="shared" si="37"/>
        <v>1.152254902175498E-2</v>
      </c>
      <c r="G1192" s="16"/>
    </row>
    <row r="1193" spans="2:7" ht="15" thickBot="1" x14ac:dyDescent="0.4">
      <c r="B1193" s="172">
        <v>4015.95</v>
      </c>
      <c r="D1193" s="43">
        <v>22829.15</v>
      </c>
      <c r="E1193" s="16">
        <f t="shared" si="36"/>
        <v>-2.5829845890198433E-3</v>
      </c>
      <c r="F1193" s="16">
        <f t="shared" si="37"/>
        <v>-5.5799366213287183E-3</v>
      </c>
      <c r="G1193" s="16"/>
    </row>
    <row r="1194" spans="2:7" ht="15" thickBot="1" x14ac:dyDescent="0.4">
      <c r="B1194" s="172">
        <v>4026.35</v>
      </c>
      <c r="D1194" s="43">
        <v>22957.25</v>
      </c>
      <c r="E1194" s="16">
        <f t="shared" si="36"/>
        <v>-1.1319967095974159E-2</v>
      </c>
      <c r="F1194" s="16">
        <f t="shared" si="37"/>
        <v>-8.886979722057875E-3</v>
      </c>
      <c r="G1194" s="16"/>
    </row>
    <row r="1195" spans="2:7" ht="15" thickBot="1" x14ac:dyDescent="0.4">
      <c r="B1195" s="172">
        <v>4072.45</v>
      </c>
      <c r="D1195" s="43">
        <v>23163.1</v>
      </c>
      <c r="E1195" s="16">
        <f t="shared" si="36"/>
        <v>-2.521662118818524E-2</v>
      </c>
      <c r="F1195" s="16">
        <f t="shared" si="37"/>
        <v>-3.7162089507302154E-3</v>
      </c>
      <c r="G1195" s="16"/>
    </row>
    <row r="1196" spans="2:7" ht="15" thickBot="1" x14ac:dyDescent="0.4">
      <c r="B1196" s="172">
        <v>4177.8</v>
      </c>
      <c r="D1196" s="43">
        <v>23249.5</v>
      </c>
      <c r="E1196" s="16">
        <f t="shared" si="36"/>
        <v>-3.718470207298652E-2</v>
      </c>
      <c r="F1196" s="16">
        <f t="shared" si="37"/>
        <v>-1.1013084684623475E-2</v>
      </c>
      <c r="G1196" s="16"/>
    </row>
    <row r="1197" spans="2:7" ht="15" thickBot="1" x14ac:dyDescent="0.4">
      <c r="B1197" s="172">
        <v>4339.1499999999996</v>
      </c>
      <c r="D1197" s="43">
        <v>23508.400000000001</v>
      </c>
      <c r="E1197" s="16">
        <f t="shared" si="36"/>
        <v>1.2247326000489833E-2</v>
      </c>
      <c r="F1197" s="16">
        <f t="shared" si="37"/>
        <v>6.3075075820651083E-3</v>
      </c>
      <c r="G1197" s="16"/>
    </row>
    <row r="1198" spans="2:7" ht="15" thickBot="1" x14ac:dyDescent="0.4">
      <c r="B1198" s="172">
        <v>4286.6499999999996</v>
      </c>
      <c r="D1198" s="43">
        <v>23361.05</v>
      </c>
      <c r="E1198" s="16">
        <f t="shared" si="36"/>
        <v>1.1694319227773642E-2</v>
      </c>
      <c r="F1198" s="16">
        <f t="shared" si="37"/>
        <v>-1.593142159082539E-2</v>
      </c>
      <c r="G1198" s="16"/>
    </row>
    <row r="1199" spans="2:7" ht="15" thickBot="1" x14ac:dyDescent="0.4">
      <c r="B1199" s="172">
        <v>4237.1000000000004</v>
      </c>
      <c r="D1199" s="43">
        <v>23739.25</v>
      </c>
      <c r="E1199" s="16">
        <f t="shared" si="36"/>
        <v>-7.7978643686772431E-3</v>
      </c>
      <c r="F1199" s="16">
        <f t="shared" si="37"/>
        <v>1.8125192540607848E-3</v>
      </c>
      <c r="G1199" s="16"/>
    </row>
    <row r="1200" spans="2:7" ht="15" thickBot="1" x14ac:dyDescent="0.4">
      <c r="B1200" s="172">
        <v>4270.3999999999996</v>
      </c>
      <c r="D1200" s="43">
        <v>23696.3</v>
      </c>
      <c r="E1200" s="16">
        <f t="shared" si="36"/>
        <v>9.538894339310211E-3</v>
      </c>
      <c r="F1200" s="16">
        <f t="shared" si="37"/>
        <v>3.938000326224822E-3</v>
      </c>
      <c r="G1200" s="16"/>
    </row>
    <row r="1201" spans="2:7" ht="15" thickBot="1" x14ac:dyDescent="0.4">
      <c r="B1201" s="172">
        <v>4230.05</v>
      </c>
      <c r="D1201" s="43">
        <v>23603.35</v>
      </c>
      <c r="E1201" s="16">
        <f t="shared" si="36"/>
        <v>-1.0433602751102278E-2</v>
      </c>
      <c r="F1201" s="16">
        <f t="shared" si="37"/>
        <v>1.84210917255756E-3</v>
      </c>
      <c r="G1201" s="16"/>
    </row>
    <row r="1202" spans="2:7" ht="15" thickBot="1" x14ac:dyDescent="0.4">
      <c r="B1202" s="172">
        <v>4274.6499999999996</v>
      </c>
      <c r="D1202" s="43">
        <v>23559.95</v>
      </c>
      <c r="E1202" s="16">
        <f t="shared" si="36"/>
        <v>1.8634798460603452E-2</v>
      </c>
      <c r="F1202" s="16">
        <f t="shared" si="37"/>
        <v>7.6277927943340096E-3</v>
      </c>
      <c r="G1202" s="16"/>
    </row>
    <row r="1203" spans="2:7" ht="15" thickBot="1" x14ac:dyDescent="0.4">
      <c r="B1203" s="172">
        <v>4196.45</v>
      </c>
      <c r="D1203" s="43">
        <v>23381.599999999999</v>
      </c>
      <c r="E1203" s="16">
        <f t="shared" si="36"/>
        <v>2.714444811592065E-2</v>
      </c>
      <c r="F1203" s="16">
        <f t="shared" si="37"/>
        <v>1.3427647604434823E-2</v>
      </c>
      <c r="G1203" s="16"/>
    </row>
    <row r="1204" spans="2:7" ht="15" thickBot="1" x14ac:dyDescent="0.4">
      <c r="B1204" s="172">
        <v>4085.55</v>
      </c>
      <c r="D1204" s="43">
        <v>23071.8</v>
      </c>
      <c r="E1204" s="16">
        <f t="shared" si="36"/>
        <v>1.7381560107078364E-2</v>
      </c>
      <c r="F1204" s="16">
        <f t="shared" si="37"/>
        <v>1.1520812314902429E-3</v>
      </c>
      <c r="G1204" s="16"/>
    </row>
    <row r="1205" spans="2:7" ht="15" thickBot="1" x14ac:dyDescent="0.4">
      <c r="B1205" s="172">
        <v>4015.75</v>
      </c>
      <c r="D1205" s="43">
        <v>23045.25</v>
      </c>
      <c r="E1205" s="16">
        <f t="shared" si="36"/>
        <v>1.4962530487419468E-2</v>
      </c>
      <c r="F1205" s="16">
        <f t="shared" si="37"/>
        <v>6.0135293555751979E-4</v>
      </c>
      <c r="G1205" s="16"/>
    </row>
    <row r="1206" spans="2:7" ht="15" thickBot="1" x14ac:dyDescent="0.4">
      <c r="B1206" s="172">
        <v>3956.55</v>
      </c>
      <c r="D1206" s="43">
        <v>23031.4</v>
      </c>
      <c r="E1206" s="16">
        <f t="shared" si="36"/>
        <v>2.4376035625517822E-2</v>
      </c>
      <c r="F1206" s="16">
        <f t="shared" si="37"/>
        <v>4.4550083408747554E-3</v>
      </c>
      <c r="G1206" s="16"/>
    </row>
    <row r="1207" spans="2:7" ht="15" thickBot="1" x14ac:dyDescent="0.4">
      <c r="B1207" s="172">
        <v>3862.4</v>
      </c>
      <c r="D1207" s="43">
        <v>22929.25</v>
      </c>
      <c r="E1207" s="16">
        <f t="shared" si="36"/>
        <v>-3.6244502057294348E-3</v>
      </c>
      <c r="F1207" s="16">
        <f t="shared" si="37"/>
        <v>-1.3175374028180364E-3</v>
      </c>
      <c r="G1207" s="16"/>
    </row>
    <row r="1208" spans="2:7" ht="15" thickBot="1" x14ac:dyDescent="0.4">
      <c r="B1208" s="172">
        <v>3876.45</v>
      </c>
      <c r="D1208" s="43">
        <v>22959.5</v>
      </c>
      <c r="E1208" s="16">
        <f t="shared" si="36"/>
        <v>9.3607603176668608E-3</v>
      </c>
      <c r="F1208" s="16">
        <f t="shared" si="37"/>
        <v>6.1886312229519902E-4</v>
      </c>
      <c r="G1208" s="16"/>
    </row>
    <row r="1209" spans="2:7" ht="15" thickBot="1" x14ac:dyDescent="0.4">
      <c r="B1209" s="172">
        <v>3840.5</v>
      </c>
      <c r="D1209" s="43">
        <v>22945.3</v>
      </c>
      <c r="E1209" s="16">
        <f t="shared" si="36"/>
        <v>-9.963522936725866E-3</v>
      </c>
      <c r="F1209" s="16">
        <f t="shared" si="37"/>
        <v>5.4070789128268792E-4</v>
      </c>
      <c r="G1209" s="16"/>
    </row>
    <row r="1210" spans="2:7" ht="15" thickBot="1" x14ac:dyDescent="0.4">
      <c r="B1210" s="172">
        <v>3879.15</v>
      </c>
      <c r="D1210" s="43">
        <v>22932.9</v>
      </c>
      <c r="E1210" s="16">
        <f t="shared" si="36"/>
        <v>-7.6616100892787919E-3</v>
      </c>
      <c r="F1210" s="16">
        <f t="shared" si="37"/>
        <v>8.6195045203307785E-4</v>
      </c>
      <c r="G1210" s="16"/>
    </row>
    <row r="1211" spans="2:7" ht="15" thickBot="1" x14ac:dyDescent="0.4">
      <c r="B1211" s="172">
        <v>3909.1</v>
      </c>
      <c r="D1211" s="43">
        <v>22913.15</v>
      </c>
      <c r="E1211" s="16">
        <f t="shared" si="36"/>
        <v>1.4665420754814917E-2</v>
      </c>
      <c r="F1211" s="16">
        <f t="shared" si="37"/>
        <v>5.1434687816669378E-3</v>
      </c>
      <c r="G1211" s="16"/>
    </row>
    <row r="1212" spans="2:7" ht="15" thickBot="1" x14ac:dyDescent="0.4">
      <c r="B1212" s="172">
        <v>3852.6</v>
      </c>
      <c r="D1212" s="43">
        <v>22795.9</v>
      </c>
      <c r="E1212" s="16">
        <f t="shared" si="36"/>
        <v>-8.3014788215761692E-3</v>
      </c>
      <c r="F1212" s="16">
        <f t="shared" si="37"/>
        <v>1.0754499885826441E-2</v>
      </c>
      <c r="G1212" s="16"/>
    </row>
    <row r="1213" spans="2:7" ht="15" thickBot="1" x14ac:dyDescent="0.4">
      <c r="B1213" s="172">
        <v>3884.85</v>
      </c>
      <c r="D1213" s="43">
        <v>22553.35</v>
      </c>
      <c r="E1213" s="16">
        <f t="shared" si="36"/>
        <v>1.4784823352706811E-2</v>
      </c>
      <c r="F1213" s="16">
        <f t="shared" si="37"/>
        <v>2.5723415626077717E-4</v>
      </c>
      <c r="G1213" s="16"/>
    </row>
    <row r="1214" spans="2:7" ht="15" thickBot="1" x14ac:dyDescent="0.4">
      <c r="B1214" s="172">
        <v>3828.25</v>
      </c>
      <c r="D1214" s="43">
        <v>22547.55</v>
      </c>
      <c r="E1214" s="16">
        <f t="shared" si="36"/>
        <v>1.8273463579417726E-2</v>
      </c>
      <c r="F1214" s="16">
        <f t="shared" si="37"/>
        <v>1.1088908651779583E-4</v>
      </c>
      <c r="G1214" s="16"/>
    </row>
    <row r="1215" spans="2:7" ht="15" thickBot="1" x14ac:dyDescent="0.4">
      <c r="B1215" s="172">
        <v>3759.55</v>
      </c>
      <c r="D1215" s="43">
        <v>22545.05</v>
      </c>
      <c r="E1215" s="16">
        <f t="shared" si="36"/>
        <v>2.1311564478009304E-2</v>
      </c>
      <c r="F1215" s="16">
        <f t="shared" si="37"/>
        <v>1.8999127671787575E-2</v>
      </c>
      <c r="G1215" s="16"/>
    </row>
    <row r="1216" spans="2:7" ht="15" thickBot="1" x14ac:dyDescent="0.4">
      <c r="B1216" s="172">
        <v>3681.1</v>
      </c>
      <c r="D1216" s="43">
        <v>22124.7</v>
      </c>
      <c r="E1216" s="16">
        <f t="shared" si="36"/>
        <v>1.3867658197342037E-2</v>
      </c>
      <c r="F1216" s="16">
        <f t="shared" si="37"/>
        <v>2.4413069129680665E-4</v>
      </c>
      <c r="G1216" s="16"/>
    </row>
    <row r="1217" spans="2:7" ht="15" thickBot="1" x14ac:dyDescent="0.4">
      <c r="B1217" s="172">
        <v>3630.75</v>
      </c>
      <c r="D1217" s="43">
        <v>22119.3</v>
      </c>
      <c r="E1217" s="16">
        <f t="shared" si="36"/>
        <v>3.2974380130019743E-2</v>
      </c>
      <c r="F1217" s="16">
        <f t="shared" si="37"/>
        <v>1.6596739974594765E-3</v>
      </c>
      <c r="G1217" s="16"/>
    </row>
    <row r="1218" spans="2:7" ht="15" thickBot="1" x14ac:dyDescent="0.4">
      <c r="B1218" s="172">
        <v>3514.85</v>
      </c>
      <c r="D1218" s="43">
        <v>22082.65</v>
      </c>
      <c r="E1218" s="16">
        <f t="shared" si="36"/>
        <v>-2.0592128178335112E-2</v>
      </c>
      <c r="F1218" s="16">
        <f t="shared" si="37"/>
        <v>-1.14002139918431E-2</v>
      </c>
      <c r="G1218" s="16"/>
    </row>
    <row r="1219" spans="2:7" ht="15" thickBot="1" x14ac:dyDescent="0.4">
      <c r="B1219" s="172">
        <v>3588.75</v>
      </c>
      <c r="D1219" s="43">
        <v>22337.3</v>
      </c>
      <c r="E1219" s="16">
        <f t="shared" si="36"/>
        <v>-1.6443987667009274E-2</v>
      </c>
      <c r="F1219" s="16">
        <f t="shared" si="37"/>
        <v>-9.1995014349270932E-3</v>
      </c>
      <c r="G1219" s="16"/>
    </row>
    <row r="1220" spans="2:7" ht="15" thickBot="1" x14ac:dyDescent="0.4">
      <c r="B1220" s="172">
        <v>3648.75</v>
      </c>
      <c r="D1220" s="43">
        <v>22544.7</v>
      </c>
      <c r="E1220" s="16">
        <f t="shared" ref="E1220:E1234" si="38">B1220/B1221-1</f>
        <v>-1.0266940451745254E-3</v>
      </c>
      <c r="F1220" s="16">
        <f t="shared" ref="F1220:F1234" si="39">D1220/D1221-1</f>
        <v>-3.4585966079148101E-4</v>
      </c>
      <c r="G1220" s="16"/>
    </row>
    <row r="1221" spans="2:7" ht="15" thickBot="1" x14ac:dyDescent="0.4">
      <c r="B1221" s="172">
        <v>3652.5</v>
      </c>
      <c r="D1221" s="43">
        <v>22552.5</v>
      </c>
      <c r="E1221" s="16">
        <f t="shared" si="38"/>
        <v>1.9439831419121756E-2</v>
      </c>
      <c r="F1221" s="16">
        <f t="shared" si="39"/>
        <v>4.1050208590267534E-3</v>
      </c>
      <c r="G1221" s="16"/>
    </row>
    <row r="1222" spans="2:7" ht="15" thickBot="1" x14ac:dyDescent="0.4">
      <c r="B1222" s="172">
        <v>3582.85</v>
      </c>
      <c r="D1222" s="43">
        <v>22460.3</v>
      </c>
      <c r="E1222" s="16">
        <f t="shared" si="38"/>
        <v>-1.857203511703398E-2</v>
      </c>
      <c r="F1222" s="16">
        <f t="shared" si="39"/>
        <v>-1.6712670960401521E-3</v>
      </c>
      <c r="G1222" s="16"/>
    </row>
    <row r="1223" spans="2:7" ht="15" thickBot="1" x14ac:dyDescent="0.4">
      <c r="B1223" s="172">
        <v>3650.65</v>
      </c>
      <c r="D1223" s="43">
        <v>22497.9</v>
      </c>
      <c r="E1223" s="16">
        <f t="shared" si="38"/>
        <v>1.1190360778339459E-2</v>
      </c>
      <c r="F1223" s="16">
        <f t="shared" si="39"/>
        <v>1.2193765158763359E-3</v>
      </c>
      <c r="G1223" s="16"/>
    </row>
    <row r="1224" spans="2:7" ht="15" thickBot="1" x14ac:dyDescent="0.4">
      <c r="B1224" s="172">
        <v>3610.25</v>
      </c>
      <c r="D1224" s="43">
        <v>22470.5</v>
      </c>
      <c r="E1224" s="16">
        <f t="shared" si="38"/>
        <v>2.2980037686128441E-2</v>
      </c>
      <c r="F1224" s="16">
        <f t="shared" si="39"/>
        <v>3.2727305198863021E-3</v>
      </c>
      <c r="G1224" s="16"/>
    </row>
    <row r="1225" spans="2:7" ht="15" thickBot="1" x14ac:dyDescent="0.4">
      <c r="B1225" s="172">
        <v>3529.15</v>
      </c>
      <c r="D1225" s="43">
        <v>22397.200000000001</v>
      </c>
      <c r="E1225" s="16">
        <f t="shared" si="38"/>
        <v>1.1217765042979888E-2</v>
      </c>
      <c r="F1225" s="16">
        <f t="shared" si="39"/>
        <v>-4.955850502582293E-3</v>
      </c>
      <c r="G1225" s="16"/>
    </row>
    <row r="1226" spans="2:7" ht="15" thickBot="1" x14ac:dyDescent="0.4">
      <c r="B1226" s="172">
        <v>3490</v>
      </c>
      <c r="D1226" s="43">
        <v>22508.75</v>
      </c>
      <c r="E1226" s="16">
        <f t="shared" si="38"/>
        <v>-2.0941747436634794E-2</v>
      </c>
      <c r="F1226" s="16">
        <f t="shared" si="39"/>
        <v>-1.4257060649986997E-2</v>
      </c>
      <c r="G1226" s="16"/>
    </row>
    <row r="1227" spans="2:7" ht="15" thickBot="1" x14ac:dyDescent="0.4">
      <c r="B1227" s="172">
        <v>3564.65</v>
      </c>
      <c r="D1227" s="43">
        <v>22834.3</v>
      </c>
      <c r="E1227" s="16">
        <f t="shared" si="38"/>
        <v>7.8173593440769018E-3</v>
      </c>
      <c r="F1227" s="16">
        <f t="shared" si="39"/>
        <v>-3.199811416298437E-3</v>
      </c>
      <c r="G1227" s="16"/>
    </row>
    <row r="1228" spans="2:7" ht="15" thickBot="1" x14ac:dyDescent="0.4">
      <c r="B1228" s="172">
        <v>3537</v>
      </c>
      <c r="D1228" s="43">
        <v>22907.599999999999</v>
      </c>
      <c r="E1228" s="16">
        <f t="shared" si="38"/>
        <v>-1.6721571243901501E-2</v>
      </c>
      <c r="F1228" s="16">
        <f t="shared" si="39"/>
        <v>-1.2205350000970339E-2</v>
      </c>
      <c r="G1228" s="16"/>
    </row>
    <row r="1229" spans="2:7" ht="15" thickBot="1" x14ac:dyDescent="0.4">
      <c r="B1229" s="172">
        <v>3597.15</v>
      </c>
      <c r="D1229" s="43">
        <v>23190.65</v>
      </c>
      <c r="E1229" s="16">
        <f t="shared" si="38"/>
        <v>-8.7765224579773315E-3</v>
      </c>
      <c r="F1229" s="16">
        <f t="shared" si="39"/>
        <v>-6.841424558037601E-3</v>
      </c>
      <c r="G1229" s="16"/>
    </row>
    <row r="1230" spans="2:7" ht="15" thickBot="1" x14ac:dyDescent="0.4">
      <c r="B1230" s="172">
        <v>3629</v>
      </c>
      <c r="D1230" s="43">
        <v>23350.400000000001</v>
      </c>
      <c r="E1230" s="16">
        <f t="shared" si="38"/>
        <v>7.3076233678492919E-4</v>
      </c>
      <c r="F1230" s="16">
        <f t="shared" si="39"/>
        <v>-1.3016545955233494E-2</v>
      </c>
      <c r="G1230" s="16"/>
    </row>
    <row r="1231" spans="2:7" ht="15" thickBot="1" x14ac:dyDescent="0.4">
      <c r="B1231" s="172">
        <v>3626.35</v>
      </c>
      <c r="D1231" s="43">
        <v>23658.35</v>
      </c>
      <c r="E1231" s="16">
        <f t="shared" si="38"/>
        <v>-4.4102041097582312E-4</v>
      </c>
      <c r="F1231" s="16">
        <f t="shared" si="39"/>
        <v>-4.3517479873178555E-4</v>
      </c>
      <c r="G1231" s="16"/>
    </row>
    <row r="1232" spans="2:7" ht="15" thickBot="1" x14ac:dyDescent="0.4">
      <c r="B1232" s="172">
        <v>3627.95</v>
      </c>
      <c r="D1232" s="43">
        <v>23668.65</v>
      </c>
      <c r="E1232" s="16">
        <f t="shared" si="38"/>
        <v>-4.9369848736269262E-3</v>
      </c>
      <c r="F1232" s="16">
        <f t="shared" si="39"/>
        <v>7.7405015998315285E-3</v>
      </c>
      <c r="G1232" s="16"/>
    </row>
    <row r="1233" spans="2:7" ht="15" thickBot="1" x14ac:dyDescent="0.4">
      <c r="B1233" s="172">
        <v>3645.95</v>
      </c>
      <c r="D1233" s="43">
        <v>23486.85</v>
      </c>
      <c r="E1233" s="16">
        <f t="shared" si="38"/>
        <v>-3.3430097692236371E-2</v>
      </c>
      <c r="F1233" s="16">
        <f t="shared" si="39"/>
        <v>-4.4549094076582474E-3</v>
      </c>
      <c r="G1233" s="16"/>
    </row>
    <row r="1234" spans="2:7" ht="15" thickBot="1" x14ac:dyDescent="0.4">
      <c r="B1234" s="172">
        <v>3772.05</v>
      </c>
      <c r="D1234" s="43">
        <v>23591.95</v>
      </c>
      <c r="E1234" s="16">
        <f t="shared" si="38"/>
        <v>1.3188466135725774E-2</v>
      </c>
      <c r="F1234" s="16">
        <f t="shared" si="39"/>
        <v>3.0868200014031455E-3</v>
      </c>
      <c r="G1234" s="16"/>
    </row>
    <row r="1235" spans="2:7" ht="15" thickBot="1" x14ac:dyDescent="0.4">
      <c r="B1235" s="172">
        <v>3722.95</v>
      </c>
      <c r="D1235" s="43">
        <v>23519.35</v>
      </c>
      <c r="E1235" s="16"/>
      <c r="F1235" s="16"/>
      <c r="G1235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79D88-519D-4FA8-9FF5-6FBE8CB6AFAC}">
  <dimension ref="B1:AK1000"/>
  <sheetViews>
    <sheetView showGridLines="0" tabSelected="1" topLeftCell="A5" zoomScale="92" zoomScaleNormal="92" workbookViewId="0">
      <selection activeCell="F17" sqref="F17"/>
    </sheetView>
  </sheetViews>
  <sheetFormatPr defaultColWidth="14.453125" defaultRowHeight="15" customHeight="1" x14ac:dyDescent="0.35"/>
  <cols>
    <col min="1" max="1" width="8.08984375" customWidth="1"/>
    <col min="2" max="2" width="32.81640625" customWidth="1"/>
    <col min="3" max="3" width="14.08984375" customWidth="1"/>
    <col min="4" max="4" width="14.26953125" customWidth="1"/>
    <col min="5" max="6" width="11.453125" customWidth="1"/>
    <col min="7" max="7" width="16.08984375" customWidth="1"/>
    <col min="8" max="16" width="12.54296875" customWidth="1"/>
    <col min="17" max="17" width="15.26953125" customWidth="1"/>
    <col min="18" max="18" width="12.54296875" customWidth="1"/>
    <col min="19" max="19" width="15.26953125" customWidth="1"/>
    <col min="20" max="26" width="12.54296875" customWidth="1"/>
    <col min="27" max="27" width="19.7265625" customWidth="1"/>
    <col min="28" max="37" width="8.7265625" customWidth="1"/>
  </cols>
  <sheetData>
    <row r="1" spans="2:37" ht="14.25" customHeight="1" x14ac:dyDescent="0.35"/>
    <row r="2" spans="2:37" ht="14.25" customHeight="1" x14ac:dyDescent="0.35">
      <c r="B2" s="153" t="s">
        <v>259</v>
      </c>
      <c r="C2" s="152">
        <v>2026</v>
      </c>
      <c r="D2" s="152">
        <v>2027</v>
      </c>
      <c r="E2" s="152">
        <v>2028</v>
      </c>
      <c r="F2" s="152">
        <v>2029</v>
      </c>
      <c r="G2" s="152">
        <v>2030</v>
      </c>
      <c r="H2" s="152">
        <v>2031</v>
      </c>
      <c r="I2" s="152">
        <v>2032</v>
      </c>
      <c r="J2" s="152">
        <v>2033</v>
      </c>
      <c r="K2" s="152">
        <v>2034</v>
      </c>
      <c r="L2" s="152">
        <v>2035</v>
      </c>
      <c r="M2" s="152">
        <v>2036</v>
      </c>
      <c r="N2" s="152">
        <v>2037</v>
      </c>
      <c r="O2" s="152">
        <v>2038</v>
      </c>
      <c r="P2" s="152">
        <v>2039</v>
      </c>
      <c r="Q2" s="152" t="s">
        <v>258</v>
      </c>
    </row>
    <row r="3" spans="2:37" ht="14.25" customHeight="1" x14ac:dyDescent="0.35">
      <c r="B3" s="127" t="s">
        <v>257</v>
      </c>
      <c r="C3" s="116">
        <f>'P&amp;L'!J26</f>
        <v>7070.3087325285924</v>
      </c>
      <c r="D3" s="116">
        <f>'P&amp;L'!K26</f>
        <v>8145.9282080153635</v>
      </c>
      <c r="E3" s="116">
        <f>'P&amp;L'!L26</f>
        <v>8867.2642811472997</v>
      </c>
      <c r="F3" s="116">
        <f>'P&amp;L'!M26</f>
        <v>9906.5725361890927</v>
      </c>
      <c r="G3" s="116">
        <f>'P&amp;L'!N26</f>
        <v>10607.81439443849</v>
      </c>
      <c r="H3" s="116"/>
    </row>
    <row r="4" spans="2:37" ht="14.25" customHeight="1" x14ac:dyDescent="0.35">
      <c r="B4" s="127"/>
      <c r="C4" s="116"/>
      <c r="D4" s="116"/>
      <c r="E4" s="116"/>
      <c r="F4" s="116"/>
      <c r="G4" s="116"/>
    </row>
    <row r="5" spans="2:37" ht="14.25" customHeight="1" x14ac:dyDescent="0.35">
      <c r="B5" s="157" t="s">
        <v>256</v>
      </c>
      <c r="C5" s="163">
        <f>C3*(1-$C$16)</f>
        <v>5290.7120245511451</v>
      </c>
      <c r="D5" s="163">
        <f t="shared" ref="D5:G5" si="0">D3*(1-$C$16)</f>
        <v>6095.5980780578966</v>
      </c>
      <c r="E5" s="163">
        <f t="shared" si="0"/>
        <v>6635.3738615825241</v>
      </c>
      <c r="F5" s="163">
        <f t="shared" si="0"/>
        <v>7413.0882288302973</v>
      </c>
      <c r="G5" s="163">
        <f t="shared" si="0"/>
        <v>7937.8275113583222</v>
      </c>
      <c r="H5" s="164"/>
      <c r="I5" s="164"/>
      <c r="J5" s="164"/>
      <c r="K5" s="164"/>
      <c r="L5" s="164"/>
      <c r="M5" s="164"/>
      <c r="N5" s="164"/>
      <c r="O5" s="164"/>
      <c r="P5" s="164"/>
      <c r="Q5" s="164"/>
    </row>
    <row r="6" spans="2:37" ht="14.25" customHeight="1" x14ac:dyDescent="0.35">
      <c r="B6" s="127" t="s">
        <v>190</v>
      </c>
      <c r="C6" s="116">
        <f>'P&amp;L'!J14</f>
        <v>845.69631976358392</v>
      </c>
      <c r="D6" s="116">
        <f>'P&amp;L'!K14</f>
        <v>913.30015156630395</v>
      </c>
      <c r="E6" s="116">
        <f>'P&amp;L'!L14</f>
        <v>998.76172734135616</v>
      </c>
      <c r="F6" s="116">
        <f>'P&amp;L'!M14</f>
        <v>1094.7434900029882</v>
      </c>
      <c r="G6" s="116">
        <f>'P&amp;L'!N14</f>
        <v>1193.6247784466204</v>
      </c>
    </row>
    <row r="7" spans="2:37" ht="14.25" customHeight="1" x14ac:dyDescent="0.35">
      <c r="B7" s="127" t="s">
        <v>191</v>
      </c>
      <c r="C7" s="116">
        <f>-'Schedule Populated '!J102</f>
        <v>4188.1265484937758</v>
      </c>
      <c r="D7" s="116">
        <f>-'Schedule Populated '!K102</f>
        <v>-872.60735645136992</v>
      </c>
      <c r="E7" s="116">
        <f>-'Schedule Populated '!L102</f>
        <v>655.56166658210896</v>
      </c>
      <c r="F7" s="116">
        <f>-'Schedule Populated '!M102</f>
        <v>-488.67789390756479</v>
      </c>
      <c r="G7" s="116">
        <f>-'Schedule Populated '!N102</f>
        <v>-834.89110118503595</v>
      </c>
    </row>
    <row r="8" spans="2:37" ht="14.25" customHeight="1" x14ac:dyDescent="0.35">
      <c r="B8" s="127" t="s">
        <v>255</v>
      </c>
      <c r="C8" s="116">
        <f>-'Schedule Populated '!J40</f>
        <v>-1484.2620000000004</v>
      </c>
      <c r="D8" s="116">
        <f>-'Schedule Populated '!K40</f>
        <v>-1522.253375574451</v>
      </c>
      <c r="E8" s="116">
        <f>-'Schedule Populated '!L40</f>
        <v>-1643.9402728193472</v>
      </c>
      <c r="F8" s="116">
        <f>-'Schedule Populated '!M40</f>
        <v>-1797.7711092144411</v>
      </c>
      <c r="G8" s="116">
        <f>-'Schedule Populated '!N40</f>
        <v>-1970.538282005379</v>
      </c>
    </row>
    <row r="9" spans="2:37" ht="14.25" customHeight="1" x14ac:dyDescent="0.35">
      <c r="B9" s="157" t="s">
        <v>246</v>
      </c>
      <c r="C9" s="163">
        <f>SUM(C5:C8)</f>
        <v>8840.2728928085035</v>
      </c>
      <c r="D9" s="163">
        <f t="shared" ref="D9:G9" si="1">SUM(D5:D8)</f>
        <v>4614.0374975983796</v>
      </c>
      <c r="E9" s="163">
        <f t="shared" si="1"/>
        <v>6645.756982686642</v>
      </c>
      <c r="F9" s="163">
        <f t="shared" si="1"/>
        <v>6221.3827157112801</v>
      </c>
      <c r="G9" s="163">
        <f t="shared" si="1"/>
        <v>6326.0229066145284</v>
      </c>
      <c r="H9" s="162">
        <f>G9*(1+H10)</f>
        <v>7155.3590933540063</v>
      </c>
      <c r="I9" s="162">
        <f t="shared" ref="I9:Q9" si="2">H9*(1+I10)</f>
        <v>8045.4796381749475</v>
      </c>
      <c r="J9" s="162">
        <f t="shared" si="2"/>
        <v>8992.4257030778845</v>
      </c>
      <c r="K9" s="162">
        <f t="shared" si="2"/>
        <v>9990.577256837516</v>
      </c>
      <c r="L9" s="162">
        <f t="shared" si="2"/>
        <v>11032.585910829945</v>
      </c>
      <c r="M9" s="162">
        <f t="shared" si="2"/>
        <v>12109.356849667221</v>
      </c>
      <c r="N9" s="162">
        <f t="shared" si="2"/>
        <v>13210.087019314906</v>
      </c>
      <c r="O9" s="162">
        <f t="shared" si="2"/>
        <v>14322.365035913008</v>
      </c>
      <c r="P9" s="162">
        <f t="shared" si="2"/>
        <v>15432.336063439679</v>
      </c>
      <c r="Q9" s="162">
        <f t="shared" si="2"/>
        <v>16524.932243621486</v>
      </c>
      <c r="R9" s="140"/>
    </row>
    <row r="10" spans="2:37" ht="14.25" customHeight="1" x14ac:dyDescent="0.35">
      <c r="B10" s="157" t="s">
        <v>254</v>
      </c>
      <c r="C10" s="156"/>
      <c r="D10" s="156">
        <f>D9/C9-1</f>
        <v>-0.47806616904871058</v>
      </c>
      <c r="E10" s="156">
        <f t="shared" ref="E10:G10" si="3">E9/D9-1</f>
        <v>0.44033441127120843</v>
      </c>
      <c r="F10" s="156">
        <f t="shared" si="3"/>
        <v>-6.385642268908287E-2</v>
      </c>
      <c r="G10" s="156">
        <f t="shared" si="3"/>
        <v>1.6819442828841513E-2</v>
      </c>
      <c r="H10" s="161">
        <f>AVERAGE(E10:G10)</f>
        <v>0.1310991438036557</v>
      </c>
      <c r="I10" s="161">
        <f>H10-$I$11</f>
        <v>0.1243991438036557</v>
      </c>
      <c r="J10" s="161">
        <f t="shared" ref="J10:R10" si="4">I10-$I$11</f>
        <v>0.1176991438036557</v>
      </c>
      <c r="K10" s="161">
        <f t="shared" si="4"/>
        <v>0.11099914380365571</v>
      </c>
      <c r="L10" s="161">
        <f t="shared" si="4"/>
        <v>0.10429914380365571</v>
      </c>
      <c r="M10" s="161">
        <f t="shared" si="4"/>
        <v>9.7599143803655711E-2</v>
      </c>
      <c r="N10" s="161">
        <f t="shared" si="4"/>
        <v>9.0899143803655713E-2</v>
      </c>
      <c r="O10" s="161">
        <f t="shared" si="4"/>
        <v>8.4199143803655715E-2</v>
      </c>
      <c r="P10" s="161">
        <f t="shared" si="4"/>
        <v>7.7499143803655718E-2</v>
      </c>
      <c r="Q10" s="161">
        <f t="shared" si="4"/>
        <v>7.079914380365572E-2</v>
      </c>
      <c r="R10" s="161">
        <f t="shared" si="4"/>
        <v>6.4099143803655723E-2</v>
      </c>
      <c r="S10" s="166">
        <v>6.4000000000000001E-2</v>
      </c>
      <c r="T10" s="166">
        <v>6.4000000000000001E-2</v>
      </c>
      <c r="U10" s="166">
        <v>6.4000000000000001E-2</v>
      </c>
      <c r="V10" s="166">
        <v>6.4000000000000001E-2</v>
      </c>
      <c r="W10" s="166">
        <v>6.4000000000000001E-2</v>
      </c>
      <c r="X10" s="166">
        <v>6.4000000000000001E-2</v>
      </c>
      <c r="Y10" s="166">
        <v>6.4000000000000001E-2</v>
      </c>
      <c r="Z10" s="166">
        <v>6.4000000000000001E-2</v>
      </c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</row>
    <row r="11" spans="2:37" ht="14.25" customHeight="1" x14ac:dyDescent="0.35">
      <c r="G11" s="110"/>
      <c r="H11" s="140"/>
      <c r="I11" s="165">
        <v>6.7000000000000002E-3</v>
      </c>
      <c r="R11" s="109"/>
    </row>
    <row r="12" spans="2:37" ht="14.25" customHeight="1" x14ac:dyDescent="0.35">
      <c r="F12" s="17"/>
      <c r="I12" s="166"/>
    </row>
    <row r="13" spans="2:37" ht="14.25" customHeight="1" x14ac:dyDescent="0.35">
      <c r="B13" s="208" t="s">
        <v>253</v>
      </c>
      <c r="C13" s="209"/>
      <c r="D13" s="127"/>
      <c r="E13" s="120"/>
      <c r="F13" s="120"/>
      <c r="G13" s="120"/>
      <c r="H13" s="127"/>
      <c r="I13" s="127"/>
      <c r="J13" s="127"/>
      <c r="K13" s="160"/>
    </row>
    <row r="14" spans="2:37" ht="14.25" customHeight="1" x14ac:dyDescent="0.35">
      <c r="B14" s="157" t="s">
        <v>252</v>
      </c>
      <c r="C14" s="159">
        <v>45930</v>
      </c>
      <c r="D14" s="127"/>
      <c r="E14" s="120"/>
      <c r="F14" s="120"/>
      <c r="G14" s="120"/>
      <c r="H14" s="127"/>
      <c r="I14" s="127"/>
      <c r="J14" s="127"/>
      <c r="K14" s="127"/>
    </row>
    <row r="15" spans="2:37" ht="14.25" customHeight="1" x14ac:dyDescent="0.35">
      <c r="B15" s="157" t="s">
        <v>251</v>
      </c>
      <c r="C15" s="159">
        <v>46112</v>
      </c>
      <c r="D15" s="154"/>
      <c r="E15" s="120"/>
      <c r="F15" s="120"/>
      <c r="G15" s="120"/>
      <c r="H15" s="117"/>
      <c r="I15" s="114"/>
      <c r="J15" s="120"/>
      <c r="K15" s="116"/>
    </row>
    <row r="16" spans="2:37" ht="14.25" customHeight="1" x14ac:dyDescent="0.35">
      <c r="B16" s="157" t="s">
        <v>250</v>
      </c>
      <c r="C16" s="167">
        <v>0.25169999999999998</v>
      </c>
      <c r="D16" s="116"/>
      <c r="E16" s="116"/>
      <c r="F16" s="116"/>
      <c r="G16" s="116"/>
      <c r="H16" s="116"/>
      <c r="I16" s="116"/>
      <c r="J16" s="116"/>
      <c r="K16" s="116"/>
      <c r="S16" s="148"/>
    </row>
    <row r="17" spans="2:22" ht="14.25" customHeight="1" x14ac:dyDescent="0.35">
      <c r="B17" s="157" t="s">
        <v>215</v>
      </c>
      <c r="C17" s="158">
        <f>WACC!J20</f>
        <v>0.13166764149959845</v>
      </c>
      <c r="D17" s="116"/>
      <c r="E17" s="120"/>
      <c r="F17" s="117"/>
      <c r="G17" s="116"/>
      <c r="H17" s="116"/>
      <c r="I17" s="116"/>
      <c r="J17" s="116"/>
      <c r="K17" s="116"/>
      <c r="Q17" s="148"/>
      <c r="S17" s="148"/>
    </row>
    <row r="18" spans="2:22" ht="14.25" customHeight="1" x14ac:dyDescent="0.35">
      <c r="B18" s="157" t="s">
        <v>249</v>
      </c>
      <c r="C18" s="156">
        <f>WACC!M26</f>
        <v>6.3500000000000001E-2</v>
      </c>
      <c r="D18" s="117"/>
      <c r="E18" s="116"/>
      <c r="F18" s="117"/>
      <c r="G18" s="127"/>
      <c r="H18" s="127"/>
      <c r="I18" s="127"/>
      <c r="J18" s="127"/>
      <c r="K18" s="127"/>
      <c r="M18" s="155"/>
      <c r="Q18" s="148"/>
    </row>
    <row r="19" spans="2:22" ht="14.25" customHeight="1" x14ac:dyDescent="0.35">
      <c r="B19" s="120"/>
      <c r="C19" s="117"/>
      <c r="D19" s="120"/>
      <c r="E19" s="117"/>
      <c r="F19" s="154"/>
      <c r="G19" s="127"/>
      <c r="H19" s="127"/>
      <c r="I19" s="127"/>
      <c r="J19" s="127"/>
      <c r="K19" s="127"/>
    </row>
    <row r="20" spans="2:22" ht="14.25" customHeight="1" x14ac:dyDescent="0.35">
      <c r="B20" s="153" t="s">
        <v>248</v>
      </c>
      <c r="C20" s="152">
        <f t="shared" ref="C20:Q20" si="5">C2</f>
        <v>2026</v>
      </c>
      <c r="D20" s="152">
        <f t="shared" si="5"/>
        <v>2027</v>
      </c>
      <c r="E20" s="152">
        <f t="shared" si="5"/>
        <v>2028</v>
      </c>
      <c r="F20" s="152">
        <f t="shared" si="5"/>
        <v>2029</v>
      </c>
      <c r="G20" s="152">
        <f t="shared" si="5"/>
        <v>2030</v>
      </c>
      <c r="H20" s="152">
        <f t="shared" si="5"/>
        <v>2031</v>
      </c>
      <c r="I20" s="152">
        <f t="shared" si="5"/>
        <v>2032</v>
      </c>
      <c r="J20" s="152">
        <f t="shared" si="5"/>
        <v>2033</v>
      </c>
      <c r="K20" s="152">
        <f t="shared" si="5"/>
        <v>2034</v>
      </c>
      <c r="L20" s="152">
        <f t="shared" si="5"/>
        <v>2035</v>
      </c>
      <c r="M20" s="152">
        <f t="shared" si="5"/>
        <v>2036</v>
      </c>
      <c r="N20" s="152">
        <f t="shared" si="5"/>
        <v>2037</v>
      </c>
      <c r="O20" s="152">
        <f t="shared" si="5"/>
        <v>2038</v>
      </c>
      <c r="P20" s="152">
        <f t="shared" si="5"/>
        <v>2039</v>
      </c>
      <c r="Q20" s="152" t="str">
        <f t="shared" si="5"/>
        <v>2040E</v>
      </c>
    </row>
    <row r="21" spans="2:22" ht="14.25" customHeight="1" x14ac:dyDescent="0.35">
      <c r="B21" s="127" t="s">
        <v>247</v>
      </c>
      <c r="C21" s="151">
        <f>(C15-C14)/365</f>
        <v>0.49863013698630138</v>
      </c>
      <c r="D21" s="151">
        <f>C21+1</f>
        <v>1.4986301369863013</v>
      </c>
      <c r="E21" s="151">
        <f t="shared" ref="E21:Q21" si="6">D21+1</f>
        <v>2.4986301369863013</v>
      </c>
      <c r="F21" s="151">
        <f t="shared" si="6"/>
        <v>3.4986301369863013</v>
      </c>
      <c r="G21" s="151">
        <f t="shared" si="6"/>
        <v>4.4986301369863018</v>
      </c>
      <c r="H21" s="151">
        <f t="shared" si="6"/>
        <v>5.4986301369863018</v>
      </c>
      <c r="I21" s="151">
        <f t="shared" si="6"/>
        <v>6.4986301369863018</v>
      </c>
      <c r="J21" s="151">
        <f t="shared" si="6"/>
        <v>7.4986301369863018</v>
      </c>
      <c r="K21" s="151">
        <f t="shared" si="6"/>
        <v>8.4986301369863018</v>
      </c>
      <c r="L21" s="151">
        <f t="shared" si="6"/>
        <v>9.4986301369863018</v>
      </c>
      <c r="M21" s="151">
        <f t="shared" si="6"/>
        <v>10.498630136986302</v>
      </c>
      <c r="N21" s="151">
        <f t="shared" si="6"/>
        <v>11.498630136986302</v>
      </c>
      <c r="O21" s="151">
        <f>N21+1</f>
        <v>12.498630136986302</v>
      </c>
      <c r="P21" s="151">
        <f t="shared" si="6"/>
        <v>13.498630136986302</v>
      </c>
      <c r="Q21" s="151">
        <f t="shared" si="6"/>
        <v>14.498630136986302</v>
      </c>
    </row>
    <row r="22" spans="2:22" ht="14.25" customHeight="1" x14ac:dyDescent="0.35">
      <c r="B22" s="127" t="s">
        <v>246</v>
      </c>
      <c r="C22" s="116">
        <f>C9</f>
        <v>8840.2728928085035</v>
      </c>
      <c r="D22" s="116">
        <f t="shared" ref="D22:Q22" si="7">D9</f>
        <v>4614.0374975983796</v>
      </c>
      <c r="E22" s="116">
        <f t="shared" si="7"/>
        <v>6645.756982686642</v>
      </c>
      <c r="F22" s="116">
        <f t="shared" si="7"/>
        <v>6221.3827157112801</v>
      </c>
      <c r="G22" s="116">
        <f t="shared" si="7"/>
        <v>6326.0229066145284</v>
      </c>
      <c r="H22" s="116">
        <f t="shared" si="7"/>
        <v>7155.3590933540063</v>
      </c>
      <c r="I22" s="116">
        <f t="shared" si="7"/>
        <v>8045.4796381749475</v>
      </c>
      <c r="J22" s="116">
        <f t="shared" si="7"/>
        <v>8992.4257030778845</v>
      </c>
      <c r="K22" s="116">
        <f t="shared" si="7"/>
        <v>9990.577256837516</v>
      </c>
      <c r="L22" s="116">
        <f t="shared" si="7"/>
        <v>11032.585910829945</v>
      </c>
      <c r="M22" s="116">
        <f t="shared" si="7"/>
        <v>12109.356849667221</v>
      </c>
      <c r="N22" s="116">
        <f t="shared" si="7"/>
        <v>13210.087019314906</v>
      </c>
      <c r="O22" s="116">
        <f t="shared" si="7"/>
        <v>14322.365035913008</v>
      </c>
      <c r="P22" s="116">
        <f t="shared" si="7"/>
        <v>15432.336063439679</v>
      </c>
      <c r="Q22" s="116">
        <f t="shared" si="7"/>
        <v>16524.932243621486</v>
      </c>
      <c r="R22" s="116"/>
      <c r="S22" s="116"/>
      <c r="T22" s="116"/>
      <c r="U22" s="116"/>
      <c r="V22" s="116"/>
    </row>
    <row r="23" spans="2:22" ht="14.25" customHeight="1" x14ac:dyDescent="0.35">
      <c r="B23" s="127" t="s">
        <v>245</v>
      </c>
      <c r="C23" s="116">
        <f>C22/(1+$C$17)^C21</f>
        <v>8311.5076722009289</v>
      </c>
      <c r="D23" s="116">
        <f t="shared" ref="D23:Q23" si="8">D22/(1+$C$17)^D21</f>
        <v>3833.3313432770824</v>
      </c>
      <c r="E23" s="116">
        <f t="shared" si="8"/>
        <v>4878.8874410247299</v>
      </c>
      <c r="F23" s="116">
        <f t="shared" si="8"/>
        <v>4035.9368553526119</v>
      </c>
      <c r="G23" s="116">
        <f t="shared" si="8"/>
        <v>3626.3465650691978</v>
      </c>
      <c r="H23" s="116">
        <f t="shared" si="8"/>
        <v>3624.5248555925527</v>
      </c>
      <c r="I23" s="116">
        <f t="shared" si="8"/>
        <v>3601.245184427924</v>
      </c>
      <c r="J23" s="116">
        <f t="shared" si="8"/>
        <v>3556.7939840785461</v>
      </c>
      <c r="K23" s="116">
        <f t="shared" si="8"/>
        <v>3491.8335791247941</v>
      </c>
      <c r="L23" s="116">
        <f t="shared" si="8"/>
        <v>3407.3863123122028</v>
      </c>
      <c r="M23" s="116">
        <f t="shared" si="8"/>
        <v>3304.8080212369464</v>
      </c>
      <c r="N23" s="116">
        <f t="shared" si="8"/>
        <v>3185.7518131608758</v>
      </c>
      <c r="O23" s="116">
        <f t="shared" si="8"/>
        <v>3052.1234870893768</v>
      </c>
      <c r="P23" s="116">
        <f t="shared" si="8"/>
        <v>2906.0302897447459</v>
      </c>
      <c r="Q23" s="116">
        <f t="shared" si="8"/>
        <v>2749.7249475143421</v>
      </c>
      <c r="R23" s="116"/>
      <c r="S23" s="116"/>
      <c r="T23" s="116"/>
      <c r="U23" s="116"/>
      <c r="V23" s="116"/>
    </row>
    <row r="24" spans="2:22" ht="14.25" customHeight="1" x14ac:dyDescent="0.35">
      <c r="B24" s="149"/>
      <c r="C24" s="116"/>
      <c r="D24" s="149"/>
      <c r="E24" s="149"/>
      <c r="F24" s="149"/>
      <c r="G24" s="149"/>
    </row>
    <row r="25" spans="2:22" ht="14.25" customHeight="1" x14ac:dyDescent="0.35">
      <c r="B25" s="150" t="s">
        <v>244</v>
      </c>
      <c r="C25" s="132">
        <f>Q22*(1+C18)/(C17-C18)</f>
        <v>257809.49809148043</v>
      </c>
      <c r="D25" s="145"/>
      <c r="E25" s="149"/>
      <c r="F25" s="149"/>
      <c r="G25" s="149"/>
      <c r="H25" s="149"/>
      <c r="I25" s="149"/>
      <c r="J25" s="149"/>
      <c r="K25" s="149"/>
      <c r="Q25" s="148"/>
    </row>
    <row r="26" spans="2:22" ht="14.25" customHeight="1" x14ac:dyDescent="0.35">
      <c r="B26" s="133" t="s">
        <v>243</v>
      </c>
      <c r="C26" s="132">
        <f>SUM(C23:Q23)</f>
        <v>57566.232351206861</v>
      </c>
      <c r="D26" s="128"/>
      <c r="E26" s="116"/>
      <c r="F26" s="116"/>
      <c r="G26" s="120"/>
      <c r="H26" s="116"/>
      <c r="I26" s="116"/>
      <c r="J26" s="116"/>
      <c r="K26" s="116"/>
    </row>
    <row r="27" spans="2:22" ht="14.25" customHeight="1" thickBot="1" x14ac:dyDescent="0.4">
      <c r="B27" s="133" t="s">
        <v>242</v>
      </c>
      <c r="C27" s="132">
        <f>C25/(1+C17)^Q21</f>
        <v>42899.129518786838</v>
      </c>
      <c r="D27" s="128"/>
      <c r="E27" s="116"/>
      <c r="F27" s="116"/>
      <c r="G27" s="120"/>
      <c r="H27" s="116"/>
      <c r="I27" s="116"/>
      <c r="J27" s="147"/>
      <c r="K27" s="147"/>
      <c r="L27" s="146"/>
      <c r="M27" s="146"/>
      <c r="N27" s="146"/>
      <c r="O27" s="146"/>
    </row>
    <row r="28" spans="2:22" ht="14.25" customHeight="1" thickBot="1" x14ac:dyDescent="0.4">
      <c r="B28" s="133" t="s">
        <v>241</v>
      </c>
      <c r="C28" s="132">
        <f>SUM(C26:C27)</f>
        <v>100465.36186999371</v>
      </c>
      <c r="D28" s="145"/>
      <c r="E28" s="116"/>
      <c r="F28" s="116"/>
      <c r="G28" s="120"/>
      <c r="H28" s="116"/>
      <c r="I28" s="116"/>
      <c r="J28" s="144">
        <f>C34</f>
        <v>5456.7402704135357</v>
      </c>
      <c r="K28" s="142">
        <f>L28-0.5%</f>
        <v>0.10167682083749907</v>
      </c>
      <c r="L28" s="142">
        <f>M28-0.5%</f>
        <v>0.10667682083749908</v>
      </c>
      <c r="M28" s="143">
        <v>0.11167682083749908</v>
      </c>
      <c r="N28" s="142">
        <f>M28+0.5%</f>
        <v>0.11667682083749908</v>
      </c>
      <c r="O28" s="141">
        <f>N28+0.5%</f>
        <v>0.12167682083749909</v>
      </c>
      <c r="Q28" s="140"/>
      <c r="R28" s="140"/>
    </row>
    <row r="29" spans="2:22" ht="14.25" customHeight="1" x14ac:dyDescent="0.35">
      <c r="B29" s="133" t="s">
        <v>240</v>
      </c>
      <c r="C29" s="132">
        <f>-WACC!J14</f>
        <v>-742.92138742494467</v>
      </c>
      <c r="D29" s="116"/>
      <c r="E29" s="116"/>
      <c r="F29" s="116"/>
      <c r="G29" s="120"/>
      <c r="H29" s="116"/>
      <c r="I29" s="116"/>
      <c r="J29" s="131">
        <f>J30-0.5%</f>
        <v>4.5000000000000005E-2</v>
      </c>
      <c r="K29" s="139">
        <v>0</v>
      </c>
      <c r="L29" s="138">
        <v>0</v>
      </c>
      <c r="M29" s="138">
        <v>0</v>
      </c>
      <c r="N29" s="138">
        <v>0</v>
      </c>
      <c r="O29" s="137">
        <v>0</v>
      </c>
      <c r="P29" s="111"/>
      <c r="Q29" s="111"/>
      <c r="R29" s="111"/>
    </row>
    <row r="30" spans="2:22" ht="14.25" customHeight="1" x14ac:dyDescent="0.35">
      <c r="B30" s="133" t="s">
        <v>239</v>
      </c>
      <c r="C30" s="132">
        <f>CFS!E22</f>
        <v>9521.4997311102125</v>
      </c>
      <c r="D30" s="116"/>
      <c r="E30" s="120"/>
      <c r="F30" s="120"/>
      <c r="G30" s="120"/>
      <c r="H30" s="136"/>
      <c r="I30" s="116"/>
      <c r="J30" s="131">
        <f>J31-0.5%</f>
        <v>0.05</v>
      </c>
      <c r="K30" s="130">
        <v>0</v>
      </c>
      <c r="L30" s="116">
        <v>0</v>
      </c>
      <c r="M30" s="116">
        <v>0</v>
      </c>
      <c r="N30" s="116">
        <v>0</v>
      </c>
      <c r="O30" s="129">
        <v>0</v>
      </c>
      <c r="P30" s="111"/>
      <c r="Q30" s="111"/>
      <c r="R30" s="111"/>
    </row>
    <row r="31" spans="2:22" ht="14.25" customHeight="1" x14ac:dyDescent="0.35">
      <c r="B31" s="133" t="s">
        <v>266</v>
      </c>
      <c r="C31" s="175">
        <f>WACC!L3</f>
        <v>20.02</v>
      </c>
      <c r="D31" s="135"/>
      <c r="E31" s="120"/>
      <c r="F31" s="120"/>
      <c r="G31" s="120"/>
      <c r="H31" s="116"/>
      <c r="I31" s="116"/>
      <c r="J31" s="131">
        <v>5.5E-2</v>
      </c>
      <c r="K31" s="130">
        <v>0</v>
      </c>
      <c r="L31" s="116">
        <v>0</v>
      </c>
      <c r="M31" s="134">
        <v>0</v>
      </c>
      <c r="N31" s="116">
        <v>0</v>
      </c>
      <c r="O31" s="129">
        <v>0</v>
      </c>
      <c r="P31" s="111"/>
      <c r="Q31" s="111"/>
      <c r="R31" s="111"/>
    </row>
    <row r="32" spans="2:22" ht="14.25" customHeight="1" x14ac:dyDescent="0.35">
      <c r="B32" s="133" t="s">
        <v>238</v>
      </c>
      <c r="C32" s="132">
        <f>C28+C29+C30</f>
        <v>109243.94021367899</v>
      </c>
      <c r="D32" s="116"/>
      <c r="E32" s="116"/>
      <c r="F32" s="116"/>
      <c r="G32" s="116"/>
      <c r="H32" s="116"/>
      <c r="I32" s="116"/>
      <c r="J32" s="131">
        <f>J31+0.5%</f>
        <v>0.06</v>
      </c>
      <c r="K32" s="130">
        <v>0</v>
      </c>
      <c r="L32" s="116">
        <v>0</v>
      </c>
      <c r="M32" s="116">
        <v>0</v>
      </c>
      <c r="N32" s="116">
        <v>0</v>
      </c>
      <c r="O32" s="129">
        <v>0</v>
      </c>
      <c r="P32" s="111"/>
      <c r="Q32" s="111"/>
      <c r="R32" s="111"/>
    </row>
    <row r="33" spans="2:18" ht="14.25" customHeight="1" thickBot="1" x14ac:dyDescent="0.4">
      <c r="B33" s="128" t="s">
        <v>237</v>
      </c>
      <c r="C33" s="116">
        <f>WACC!L2</f>
        <v>5472.5</v>
      </c>
      <c r="D33" s="111"/>
      <c r="E33" s="120"/>
      <c r="F33" s="127"/>
      <c r="G33" s="127"/>
      <c r="H33" s="127"/>
      <c r="I33" s="127"/>
      <c r="J33" s="126">
        <f>J32+0.5%</f>
        <v>6.5000000000000002E-2</v>
      </c>
      <c r="K33" s="125">
        <v>0</v>
      </c>
      <c r="L33" s="124">
        <v>0</v>
      </c>
      <c r="M33" s="124">
        <v>0</v>
      </c>
      <c r="N33" s="124">
        <v>0</v>
      </c>
      <c r="O33" s="123">
        <v>0</v>
      </c>
      <c r="P33" s="111"/>
      <c r="Q33" s="111"/>
      <c r="R33" s="111"/>
    </row>
    <row r="34" spans="2:18" ht="14.25" customHeight="1" x14ac:dyDescent="0.35">
      <c r="B34" s="122" t="s">
        <v>236</v>
      </c>
      <c r="C34" s="121">
        <f>C32/C31</f>
        <v>5456.7402704135357</v>
      </c>
      <c r="D34" s="116"/>
      <c r="E34" s="120"/>
      <c r="F34" s="120"/>
      <c r="G34" s="120"/>
      <c r="H34" s="120"/>
      <c r="I34" s="120"/>
      <c r="K34" s="116"/>
      <c r="L34" s="111"/>
      <c r="M34" s="111"/>
      <c r="N34" s="111"/>
      <c r="O34" s="111"/>
      <c r="P34" s="111"/>
      <c r="Q34" s="111"/>
      <c r="R34" s="111"/>
    </row>
    <row r="35" spans="2:18" ht="14.25" customHeight="1" x14ac:dyDescent="0.35">
      <c r="B35" s="119" t="s">
        <v>235</v>
      </c>
      <c r="C35" s="118">
        <f>C34/C33-1</f>
        <v>-2.8798044013639279E-3</v>
      </c>
      <c r="D35" s="114"/>
      <c r="E35" s="117"/>
      <c r="F35" s="116"/>
      <c r="G35" s="116"/>
      <c r="H35" s="116"/>
      <c r="I35" s="116"/>
      <c r="J35" s="115"/>
      <c r="K35" s="116"/>
      <c r="L35" s="111"/>
      <c r="M35" s="111"/>
      <c r="N35" s="111"/>
      <c r="O35" s="111"/>
      <c r="P35" s="111"/>
      <c r="Q35" s="111"/>
      <c r="R35" s="111"/>
    </row>
    <row r="36" spans="2:18" ht="14.25" customHeight="1" x14ac:dyDescent="0.35">
      <c r="B36" s="116"/>
      <c r="C36" s="116"/>
      <c r="D36" s="116"/>
      <c r="E36" s="116"/>
      <c r="F36" s="116"/>
      <c r="G36" s="116"/>
      <c r="H36" s="116"/>
      <c r="I36" s="116"/>
      <c r="J36" s="115"/>
      <c r="K36" s="114"/>
      <c r="L36" s="111"/>
      <c r="M36" s="111"/>
      <c r="N36" s="111"/>
      <c r="O36" s="111"/>
      <c r="P36" s="111"/>
      <c r="Q36" s="111"/>
      <c r="R36" s="111"/>
    </row>
    <row r="37" spans="2:18" ht="14.25" customHeight="1" x14ac:dyDescent="0.35">
      <c r="K37" s="110"/>
    </row>
    <row r="38" spans="2:18" ht="14.25" customHeight="1" x14ac:dyDescent="0.35"/>
    <row r="39" spans="2:18" ht="14.25" customHeight="1" x14ac:dyDescent="0.35"/>
    <row r="40" spans="2:18" ht="14.25" customHeight="1" x14ac:dyDescent="0.35"/>
    <row r="41" spans="2:18" ht="14.25" customHeight="1" x14ac:dyDescent="0.35">
      <c r="J41" s="109"/>
    </row>
    <row r="42" spans="2:18" ht="14.25" customHeight="1" x14ac:dyDescent="0.35"/>
    <row r="43" spans="2:18" ht="14.25" customHeight="1" x14ac:dyDescent="0.35"/>
    <row r="44" spans="2:18" ht="14.25" customHeight="1" x14ac:dyDescent="0.35">
      <c r="B44" s="112" t="s">
        <v>234</v>
      </c>
    </row>
    <row r="45" spans="2:18" ht="14.25" customHeight="1" x14ac:dyDescent="0.35"/>
    <row r="46" spans="2:18" ht="14.25" customHeight="1" x14ac:dyDescent="0.35">
      <c r="B46" s="112" t="s">
        <v>233</v>
      </c>
    </row>
    <row r="47" spans="2:18" ht="14.25" customHeight="1" x14ac:dyDescent="0.35"/>
    <row r="48" spans="2:18" ht="14.25" customHeight="1" x14ac:dyDescent="0.35"/>
    <row r="49" customFormat="1" ht="14.25" customHeight="1" x14ac:dyDescent="0.35"/>
    <row r="50" customFormat="1" ht="14.25" customHeight="1" x14ac:dyDescent="0.35"/>
    <row r="51" customFormat="1" ht="14.25" customHeight="1" x14ac:dyDescent="0.35"/>
    <row r="52" customFormat="1" ht="14.25" customHeight="1" x14ac:dyDescent="0.35"/>
    <row r="53" customFormat="1" ht="14.25" customHeight="1" x14ac:dyDescent="0.35"/>
    <row r="54" customFormat="1" ht="14.25" customHeight="1" x14ac:dyDescent="0.35"/>
    <row r="55" customFormat="1" ht="14.25" customHeight="1" x14ac:dyDescent="0.35"/>
    <row r="56" customFormat="1" ht="14.25" customHeight="1" x14ac:dyDescent="0.35"/>
    <row r="57" customFormat="1" ht="14.25" customHeight="1" x14ac:dyDescent="0.35"/>
    <row r="58" customFormat="1" ht="14.25" customHeight="1" x14ac:dyDescent="0.35"/>
    <row r="59" customFormat="1" ht="14.25" customHeight="1" x14ac:dyDescent="0.35"/>
    <row r="60" customFormat="1" ht="14.25" customHeight="1" x14ac:dyDescent="0.35"/>
    <row r="61" customFormat="1" ht="14.25" customHeight="1" x14ac:dyDescent="0.35"/>
    <row r="62" customFormat="1" ht="14.25" customHeight="1" x14ac:dyDescent="0.35"/>
    <row r="63" customFormat="1" ht="14.25" customHeight="1" x14ac:dyDescent="0.35"/>
    <row r="64" customFormat="1" ht="14.25" customHeight="1" x14ac:dyDescent="0.35"/>
    <row r="65" customFormat="1" ht="14.25" customHeight="1" x14ac:dyDescent="0.35"/>
    <row r="66" customFormat="1" ht="14.25" customHeight="1" x14ac:dyDescent="0.35"/>
    <row r="67" customFormat="1" ht="14.25" customHeight="1" x14ac:dyDescent="0.35"/>
    <row r="68" customFormat="1" ht="14.25" customHeight="1" x14ac:dyDescent="0.35"/>
    <row r="69" customFormat="1" ht="14.25" customHeight="1" x14ac:dyDescent="0.35"/>
    <row r="70" customFormat="1" ht="14.25" customHeight="1" x14ac:dyDescent="0.35"/>
    <row r="71" customFormat="1" ht="14.25" customHeight="1" x14ac:dyDescent="0.35"/>
    <row r="72" customFormat="1" ht="14.25" customHeight="1" x14ac:dyDescent="0.35"/>
    <row r="73" customFormat="1" ht="14.25" customHeight="1" x14ac:dyDescent="0.35"/>
    <row r="74" customFormat="1" ht="14.25" customHeight="1" x14ac:dyDescent="0.35"/>
    <row r="75" customFormat="1" ht="14.25" customHeight="1" x14ac:dyDescent="0.35"/>
    <row r="76" customFormat="1" ht="14.25" customHeight="1" x14ac:dyDescent="0.35"/>
    <row r="77" customFormat="1" ht="14.25" customHeight="1" x14ac:dyDescent="0.35"/>
    <row r="78" customFormat="1" ht="14.25" customHeight="1" x14ac:dyDescent="0.35"/>
    <row r="79" customFormat="1" ht="14.25" customHeight="1" x14ac:dyDescent="0.35"/>
    <row r="80" customFormat="1" ht="14.25" customHeight="1" x14ac:dyDescent="0.35"/>
    <row r="81" customFormat="1" ht="14.25" customHeight="1" x14ac:dyDescent="0.35"/>
    <row r="82" customFormat="1" ht="14.25" customHeight="1" x14ac:dyDescent="0.35"/>
    <row r="83" customFormat="1" ht="14.25" customHeight="1" x14ac:dyDescent="0.35"/>
    <row r="84" customFormat="1" ht="14.25" customHeight="1" x14ac:dyDescent="0.35"/>
    <row r="85" customFormat="1" ht="14.25" customHeight="1" x14ac:dyDescent="0.35"/>
    <row r="86" customFormat="1" ht="14.25" customHeight="1" x14ac:dyDescent="0.35"/>
    <row r="87" customFormat="1" ht="14.25" customHeight="1" x14ac:dyDescent="0.35"/>
    <row r="88" customFormat="1" ht="14.25" customHeight="1" x14ac:dyDescent="0.35"/>
    <row r="89" customFormat="1" ht="14.25" customHeight="1" x14ac:dyDescent="0.35"/>
    <row r="90" customFormat="1" ht="14.25" customHeight="1" x14ac:dyDescent="0.35"/>
    <row r="91" customFormat="1" ht="14.25" customHeight="1" x14ac:dyDescent="0.35"/>
    <row r="92" customFormat="1" ht="14.25" customHeight="1" x14ac:dyDescent="0.35"/>
    <row r="93" customFormat="1" ht="14.25" customHeight="1" x14ac:dyDescent="0.35"/>
    <row r="94" customFormat="1" ht="14.25" customHeight="1" x14ac:dyDescent="0.35"/>
    <row r="95" customFormat="1" ht="14.25" customHeight="1" x14ac:dyDescent="0.35"/>
    <row r="96" customFormat="1" ht="14.25" customHeight="1" x14ac:dyDescent="0.35"/>
    <row r="97" customFormat="1" ht="14.25" customHeight="1" x14ac:dyDescent="0.35"/>
    <row r="98" customFormat="1" ht="14.25" customHeight="1" x14ac:dyDescent="0.35"/>
    <row r="99" customFormat="1" ht="14.25" customHeight="1" x14ac:dyDescent="0.35"/>
    <row r="100" customFormat="1" ht="14.25" customHeight="1" x14ac:dyDescent="0.35"/>
    <row r="101" customFormat="1" ht="14.25" customHeight="1" x14ac:dyDescent="0.35"/>
    <row r="102" customFormat="1" ht="14.25" customHeight="1" x14ac:dyDescent="0.35"/>
    <row r="103" customFormat="1" ht="14.25" customHeight="1" x14ac:dyDescent="0.35"/>
    <row r="104" customFormat="1" ht="14.25" customHeight="1" x14ac:dyDescent="0.35"/>
    <row r="105" customFormat="1" ht="14.25" customHeight="1" x14ac:dyDescent="0.35"/>
    <row r="106" customFormat="1" ht="14.25" customHeight="1" x14ac:dyDescent="0.35"/>
    <row r="107" customFormat="1" ht="14.25" customHeight="1" x14ac:dyDescent="0.35"/>
    <row r="108" customFormat="1" ht="14.25" customHeight="1" x14ac:dyDescent="0.35"/>
    <row r="109" customFormat="1" ht="14.25" customHeight="1" x14ac:dyDescent="0.35"/>
    <row r="110" customFormat="1" ht="14.25" customHeight="1" x14ac:dyDescent="0.35"/>
    <row r="111" customFormat="1" ht="14.25" customHeight="1" x14ac:dyDescent="0.35"/>
    <row r="112" customFormat="1" ht="14.25" customHeight="1" x14ac:dyDescent="0.35"/>
    <row r="113" customFormat="1" ht="14.25" customHeight="1" x14ac:dyDescent="0.35"/>
    <row r="114" customFormat="1" ht="14.25" customHeight="1" x14ac:dyDescent="0.35"/>
    <row r="115" customFormat="1" ht="14.25" customHeight="1" x14ac:dyDescent="0.35"/>
    <row r="116" customFormat="1" ht="14.25" customHeight="1" x14ac:dyDescent="0.35"/>
    <row r="117" customFormat="1" ht="14.25" customHeight="1" x14ac:dyDescent="0.35"/>
    <row r="118" customFormat="1" ht="14.25" customHeight="1" x14ac:dyDescent="0.35"/>
    <row r="119" customFormat="1" ht="14.25" customHeight="1" x14ac:dyDescent="0.35"/>
    <row r="120" customFormat="1" ht="14.25" customHeight="1" x14ac:dyDescent="0.35"/>
    <row r="121" customFormat="1" ht="14.25" customHeight="1" x14ac:dyDescent="0.35"/>
    <row r="122" customFormat="1" ht="14.25" customHeight="1" x14ac:dyDescent="0.35"/>
    <row r="123" customFormat="1" ht="14.25" customHeight="1" x14ac:dyDescent="0.35"/>
    <row r="124" customFormat="1" ht="14.25" customHeight="1" x14ac:dyDescent="0.35"/>
    <row r="125" customFormat="1" ht="14.25" customHeight="1" x14ac:dyDescent="0.35"/>
    <row r="126" customFormat="1" ht="14.25" customHeight="1" x14ac:dyDescent="0.35"/>
    <row r="127" customFormat="1" ht="14.25" customHeight="1" x14ac:dyDescent="0.35"/>
    <row r="128" customFormat="1" ht="14.25" customHeight="1" x14ac:dyDescent="0.35"/>
    <row r="129" customFormat="1" ht="14.25" customHeight="1" x14ac:dyDescent="0.35"/>
    <row r="130" customFormat="1" ht="14.25" customHeight="1" x14ac:dyDescent="0.35"/>
    <row r="131" customFormat="1" ht="14.25" customHeight="1" x14ac:dyDescent="0.35"/>
    <row r="132" customFormat="1" ht="14.25" customHeight="1" x14ac:dyDescent="0.35"/>
    <row r="133" customFormat="1" ht="14.25" customHeight="1" x14ac:dyDescent="0.35"/>
    <row r="134" customFormat="1" ht="14.25" customHeight="1" x14ac:dyDescent="0.35"/>
    <row r="135" customFormat="1" ht="14.25" customHeight="1" x14ac:dyDescent="0.35"/>
    <row r="136" customFormat="1" ht="14.25" customHeight="1" x14ac:dyDescent="0.35"/>
    <row r="137" customFormat="1" ht="14.25" customHeight="1" x14ac:dyDescent="0.35"/>
    <row r="138" customFormat="1" ht="14.25" customHeight="1" x14ac:dyDescent="0.35"/>
    <row r="139" customFormat="1" ht="14.25" customHeight="1" x14ac:dyDescent="0.35"/>
    <row r="140" customFormat="1" ht="14.25" customHeight="1" x14ac:dyDescent="0.35"/>
    <row r="141" customFormat="1" ht="14.25" customHeight="1" x14ac:dyDescent="0.35"/>
    <row r="142" customFormat="1" ht="14.25" customHeight="1" x14ac:dyDescent="0.35"/>
    <row r="143" customFormat="1" ht="14.25" customHeight="1" x14ac:dyDescent="0.35"/>
    <row r="144" customFormat="1" ht="14.25" customHeight="1" x14ac:dyDescent="0.35"/>
    <row r="145" customFormat="1" ht="14.25" customHeight="1" x14ac:dyDescent="0.35"/>
    <row r="146" customFormat="1" ht="14.25" customHeight="1" x14ac:dyDescent="0.35"/>
    <row r="147" customFormat="1" ht="14.25" customHeight="1" x14ac:dyDescent="0.35"/>
    <row r="148" customFormat="1" ht="14.25" customHeight="1" x14ac:dyDescent="0.35"/>
    <row r="149" customFormat="1" ht="14.25" customHeight="1" x14ac:dyDescent="0.35"/>
    <row r="150" customFormat="1" ht="14.25" customHeight="1" x14ac:dyDescent="0.35"/>
    <row r="151" customFormat="1" ht="14.25" customHeight="1" x14ac:dyDescent="0.35"/>
    <row r="152" customFormat="1" ht="14.25" customHeight="1" x14ac:dyDescent="0.35"/>
    <row r="153" customFormat="1" ht="14.25" customHeight="1" x14ac:dyDescent="0.35"/>
    <row r="154" customFormat="1" ht="14.25" customHeight="1" x14ac:dyDescent="0.35"/>
    <row r="155" customFormat="1" ht="14.25" customHeight="1" x14ac:dyDescent="0.35"/>
    <row r="156" customFormat="1" ht="14.25" customHeight="1" x14ac:dyDescent="0.35"/>
    <row r="157" customFormat="1" ht="14.25" customHeight="1" x14ac:dyDescent="0.35"/>
    <row r="158" customFormat="1" ht="14.25" customHeight="1" x14ac:dyDescent="0.35"/>
    <row r="159" customFormat="1" ht="14.25" customHeight="1" x14ac:dyDescent="0.35"/>
    <row r="160" customFormat="1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</sheetData>
  <mergeCells count="1">
    <mergeCell ref="B13:C13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5E34D-737D-4465-A8A9-C0994D1FAA62}">
  <dimension ref="B2:D18"/>
  <sheetViews>
    <sheetView showGridLines="0" topLeftCell="A3" zoomScale="86" zoomScaleNormal="86" workbookViewId="0">
      <selection activeCell="C11" sqref="C11"/>
    </sheetView>
  </sheetViews>
  <sheetFormatPr defaultRowHeight="14.5" x14ac:dyDescent="0.35"/>
  <cols>
    <col min="2" max="2" width="27.81640625" customWidth="1"/>
    <col min="3" max="3" width="28.26953125" customWidth="1"/>
    <col min="4" max="4" width="21.81640625" customWidth="1"/>
  </cols>
  <sheetData>
    <row r="2" spans="2:4" ht="15" thickBot="1" x14ac:dyDescent="0.4"/>
    <row r="3" spans="2:4" ht="15" thickBot="1" x14ac:dyDescent="0.4">
      <c r="B3" s="210" t="s">
        <v>269</v>
      </c>
      <c r="C3" s="211"/>
    </row>
    <row r="4" spans="2:4" ht="15" thickBot="1" x14ac:dyDescent="0.4">
      <c r="B4" s="179" t="s">
        <v>270</v>
      </c>
      <c r="C4" s="180" t="s">
        <v>271</v>
      </c>
    </row>
    <row r="5" spans="2:4" x14ac:dyDescent="0.35">
      <c r="B5" s="181" t="s">
        <v>283</v>
      </c>
      <c r="C5" s="182">
        <v>52.4</v>
      </c>
      <c r="D5" s="110"/>
    </row>
    <row r="6" spans="2:4" x14ac:dyDescent="0.35">
      <c r="B6" s="181" t="s">
        <v>284</v>
      </c>
      <c r="C6" s="182">
        <v>26.7</v>
      </c>
      <c r="D6" s="110"/>
    </row>
    <row r="7" spans="2:4" ht="15" thickBot="1" x14ac:dyDescent="0.4">
      <c r="B7" s="206" t="s">
        <v>289</v>
      </c>
      <c r="C7" s="207">
        <v>35.299999999999997</v>
      </c>
      <c r="D7" s="110"/>
    </row>
    <row r="8" spans="2:4" x14ac:dyDescent="0.35">
      <c r="B8" s="183"/>
      <c r="C8" s="184"/>
    </row>
    <row r="9" spans="2:4" x14ac:dyDescent="0.35">
      <c r="B9" s="185" t="s">
        <v>272</v>
      </c>
      <c r="C9" s="186">
        <f>AVERAGE(C5:C7)</f>
        <v>38.133333333333333</v>
      </c>
    </row>
    <row r="10" spans="2:4" x14ac:dyDescent="0.35">
      <c r="B10" s="212" t="s">
        <v>285</v>
      </c>
      <c r="C10" s="213"/>
    </row>
    <row r="11" spans="2:4" x14ac:dyDescent="0.35">
      <c r="B11" s="187" t="s">
        <v>287</v>
      </c>
      <c r="C11" s="188">
        <f>(0.5*'P&amp;L'!J24+0.5*'P&amp;L'!K24)/WACC!L3</f>
        <v>281.05367674007027</v>
      </c>
    </row>
    <row r="12" spans="2:4" x14ac:dyDescent="0.35">
      <c r="B12" s="214" t="s">
        <v>273</v>
      </c>
      <c r="C12" s="215"/>
    </row>
    <row r="13" spans="2:4" ht="15" thickBot="1" x14ac:dyDescent="0.4">
      <c r="B13" s="101" t="s">
        <v>286</v>
      </c>
      <c r="C13" s="189">
        <f>C11*C9</f>
        <v>10717.513539688012</v>
      </c>
    </row>
    <row r="14" spans="2:4" ht="15" thickBot="1" x14ac:dyDescent="0.4"/>
    <row r="15" spans="2:4" x14ac:dyDescent="0.35">
      <c r="B15" s="190" t="s">
        <v>274</v>
      </c>
      <c r="C15" s="191" t="s">
        <v>275</v>
      </c>
      <c r="D15" s="192" t="s">
        <v>276</v>
      </c>
    </row>
    <row r="16" spans="2:4" x14ac:dyDescent="0.35">
      <c r="B16" s="193" t="s">
        <v>277</v>
      </c>
      <c r="C16" s="194">
        <f>FCFF!C34</f>
        <v>5456.7402704135357</v>
      </c>
      <c r="D16" s="195">
        <v>0.7</v>
      </c>
    </row>
    <row r="17" spans="2:4" ht="15" thickBot="1" x14ac:dyDescent="0.4">
      <c r="B17" s="106" t="s">
        <v>278</v>
      </c>
      <c r="C17" s="196">
        <f>C13</f>
        <v>10717.513539688012</v>
      </c>
      <c r="D17" s="197">
        <v>0.3</v>
      </c>
    </row>
    <row r="18" spans="2:4" ht="15" thickBot="1" x14ac:dyDescent="0.4">
      <c r="B18" s="198" t="s">
        <v>279</v>
      </c>
      <c r="C18" s="216">
        <f>SUMPRODUCT(C16:C17,D16:D17)/SUM(D16:D17)</f>
        <v>7034.972251195878</v>
      </c>
      <c r="D18" s="217"/>
    </row>
  </sheetData>
  <mergeCells count="4">
    <mergeCell ref="B3:C3"/>
    <mergeCell ref="B10:C10"/>
    <mergeCell ref="B12:C12"/>
    <mergeCell ref="C18:D1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Balance Sheet </vt:lpstr>
      <vt:lpstr>P&amp;L</vt:lpstr>
      <vt:lpstr>CFS</vt:lpstr>
      <vt:lpstr>Assumptions</vt:lpstr>
      <vt:lpstr>Revenue Model</vt:lpstr>
      <vt:lpstr>Schedule Populated </vt:lpstr>
      <vt:lpstr>WACC</vt:lpstr>
      <vt:lpstr>FCFF</vt:lpstr>
      <vt:lpstr>Relative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 Neema</dc:creator>
  <cp:lastModifiedBy>Parv Neema</cp:lastModifiedBy>
  <dcterms:created xsi:type="dcterms:W3CDTF">2015-06-05T18:17:20Z</dcterms:created>
  <dcterms:modified xsi:type="dcterms:W3CDTF">2026-06-02T11:30:00Z</dcterms:modified>
</cp:coreProperties>
</file>